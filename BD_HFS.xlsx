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a_a5239m0\Desktop\"/>
    </mc:Choice>
  </mc:AlternateContent>
  <xr:revisionPtr revIDLastSave="0" documentId="13_ncr:1_{88546BFD-12AF-473B-98B0-F90ACC5AA380}" xr6:coauthVersionLast="47" xr6:coauthVersionMax="47" xr10:uidLastSave="{00000000-0000-0000-0000-000000000000}"/>
  <bookViews>
    <workbookView xWindow="-108" yWindow="-108" windowWidth="23256" windowHeight="12456" xr2:uid="{A5215A9E-5F4D-4501-97C0-8CC7CBAFEF0D}"/>
  </bookViews>
  <sheets>
    <sheet name="Tiempo de procesamiento" sheetId="1" r:id="rId1"/>
    <sheet name="Disponibilidad" sheetId="2" r:id="rId2"/>
    <sheet name="Trabajos" sheetId="3" r:id="rId3"/>
  </sheets>
  <definedNames>
    <definedName name="_xlnm._FilterDatabase" localSheetId="0" hidden="1">'Tiempo de procesamiento'!$A$1:$E$253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2" l="1" a="1"/>
  <c r="C4" i="2" a="1"/>
  <c r="C5" i="2" a="1"/>
  <c r="C6" i="2" a="1"/>
  <c r="C7" i="2" a="1"/>
  <c r="C8" i="2" a="1"/>
  <c r="C9" i="2" a="1"/>
  <c r="C10" i="2" a="1"/>
  <c r="C11" i="2" a="1"/>
  <c r="C12" i="2" a="1"/>
  <c r="C13" i="2" a="1"/>
  <c r="C14" i="2" a="1"/>
  <c r="C15" i="2" a="1"/>
  <c r="C16" i="2" a="1"/>
  <c r="C17" i="2" a="1"/>
  <c r="C18" i="2" a="1"/>
  <c r="C19" i="2" a="1"/>
  <c r="C20" i="2" a="1"/>
  <c r="C21" i="2" a="1"/>
  <c r="C22" i="2" a="1"/>
  <c r="C23" i="2" a="1"/>
  <c r="C24" i="2" a="1"/>
  <c r="C25" i="2" a="1"/>
  <c r="C26" i="2" a="1"/>
  <c r="C27" i="2" a="1"/>
  <c r="C28" i="2" a="1"/>
  <c r="C29" i="2" a="1"/>
  <c r="C30" i="2" a="1"/>
  <c r="C31" i="2" a="1"/>
  <c r="C32" i="2" a="1"/>
  <c r="C33" i="2" a="1"/>
  <c r="C34" i="2" a="1"/>
  <c r="C35" i="2" a="1"/>
  <c r="C36" i="2" a="1"/>
  <c r="C37" i="2" a="1"/>
  <c r="C38" i="2" a="1"/>
  <c r="C39" i="2" a="1"/>
  <c r="C40" i="2" a="1"/>
  <c r="C41" i="2" a="1"/>
  <c r="C42" i="2" a="1"/>
  <c r="C43" i="2" a="1"/>
  <c r="C44" i="2" a="1"/>
  <c r="C45" i="2" a="1"/>
  <c r="C46" i="2" a="1"/>
  <c r="C47" i="2" a="1"/>
  <c r="C48" i="2" a="1"/>
  <c r="C49" i="2" a="1"/>
  <c r="C50" i="2" a="1"/>
  <c r="C51" i="2" a="1"/>
  <c r="C52" i="2" a="1"/>
  <c r="C53" i="2" a="1"/>
  <c r="C54" i="2" a="1"/>
  <c r="C55" i="2" a="1"/>
  <c r="C56" i="2" a="1"/>
  <c r="C57" i="2" a="1"/>
  <c r="C58" i="2" a="1"/>
  <c r="C59" i="2" a="1"/>
  <c r="C60" i="2" a="1"/>
  <c r="C61" i="2" a="1"/>
  <c r="C62" i="2" a="1"/>
  <c r="C63" i="2" a="1"/>
  <c r="C64" i="2" a="1"/>
  <c r="C65" i="2" a="1"/>
  <c r="C66" i="2" a="1"/>
  <c r="C67" i="2" a="1"/>
  <c r="C68" i="2" a="1"/>
  <c r="C69" i="2" a="1"/>
  <c r="C70" i="2" a="1"/>
  <c r="C71" i="2" a="1"/>
  <c r="C72" i="2" a="1"/>
  <c r="C73" i="2" a="1"/>
  <c r="C74" i="2" a="1"/>
  <c r="C75" i="2" a="1"/>
  <c r="C76" i="2" a="1"/>
  <c r="C77" i="2" a="1"/>
  <c r="C78" i="2" a="1"/>
  <c r="C79" i="2" a="1"/>
  <c r="C80" i="2" a="1"/>
  <c r="C81" i="2" a="1"/>
  <c r="C82" i="2" a="1"/>
  <c r="C83" i="2" a="1"/>
  <c r="C84" i="2" a="1"/>
  <c r="C85" i="2" a="1"/>
  <c r="C86" i="2" a="1"/>
  <c r="C87" i="2" a="1"/>
  <c r="C88" i="2" a="1"/>
  <c r="C89" i="2" a="1"/>
  <c r="C90" i="2" a="1"/>
  <c r="C91" i="2" a="1"/>
  <c r="C92" i="2" a="1"/>
  <c r="C93" i="2" a="1"/>
  <c r="C94" i="2" a="1"/>
  <c r="C95" i="2" a="1"/>
  <c r="C96" i="2" a="1"/>
  <c r="C97" i="2" a="1"/>
  <c r="C98" i="2" a="1"/>
  <c r="C99" i="2" a="1"/>
  <c r="C100" i="2" a="1"/>
  <c r="C101" i="2" a="1"/>
  <c r="C102" i="2" a="1"/>
  <c r="C103" i="2" a="1"/>
  <c r="C104" i="2" a="1"/>
  <c r="C105" i="2" a="1"/>
  <c r="C106" i="2" a="1"/>
  <c r="C107" i="2" a="1"/>
  <c r="C108" i="2" a="1"/>
  <c r="C109" i="2" a="1"/>
  <c r="C110" i="2" a="1"/>
  <c r="C111" i="2" a="1"/>
  <c r="C112" i="2" a="1"/>
  <c r="C113" i="2" a="1"/>
  <c r="C114" i="2" a="1"/>
  <c r="C115" i="2" a="1"/>
  <c r="C116" i="2" a="1"/>
  <c r="C117" i="2" a="1"/>
  <c r="C118" i="2" a="1"/>
  <c r="C119" i="2" a="1"/>
  <c r="C120" i="2" a="1"/>
  <c r="C121" i="2" a="1"/>
  <c r="C122" i="2" a="1"/>
  <c r="C123" i="2" a="1"/>
  <c r="C124" i="2" a="1"/>
  <c r="C125" i="2" a="1"/>
  <c r="C126" i="2" a="1"/>
  <c r="C127" i="2" a="1"/>
  <c r="C128" i="2" a="1"/>
  <c r="C129" i="2" a="1"/>
  <c r="C130" i="2" a="1"/>
  <c r="C131" i="2" a="1"/>
  <c r="C132" i="2" a="1"/>
  <c r="C133" i="2" a="1"/>
  <c r="C134" i="2" a="1"/>
  <c r="C135" i="2" a="1"/>
  <c r="C136" i="2" a="1"/>
  <c r="C137" i="2" a="1"/>
  <c r="C138" i="2" a="1"/>
  <c r="C139" i="2" a="1"/>
  <c r="C140" i="2" a="1"/>
  <c r="C141" i="2" a="1"/>
  <c r="C142" i="2" a="1"/>
  <c r="C143" i="2" a="1"/>
  <c r="C144" i="2" a="1"/>
  <c r="C145" i="2" a="1"/>
  <c r="C146" i="2" a="1"/>
  <c r="C147" i="2" a="1"/>
  <c r="C148" i="2" a="1"/>
  <c r="C149" i="2" a="1"/>
  <c r="C150" i="2" a="1"/>
  <c r="C151" i="2" a="1"/>
  <c r="C152" i="2" a="1"/>
  <c r="C153" i="2" a="1"/>
  <c r="C154" i="2" a="1"/>
  <c r="C155" i="2" a="1"/>
  <c r="C156" i="2" a="1"/>
  <c r="C157" i="2" a="1"/>
  <c r="C158" i="2" a="1"/>
  <c r="C159" i="2" a="1"/>
  <c r="C160" i="2" a="1"/>
  <c r="C161" i="2" a="1"/>
  <c r="C162" i="2" a="1"/>
  <c r="C163" i="2" a="1"/>
  <c r="C164" i="2" a="1"/>
  <c r="C165" i="2" a="1"/>
  <c r="C166" i="2" a="1"/>
  <c r="C167" i="2" a="1"/>
  <c r="C168" i="2" a="1"/>
  <c r="C2" i="2" a="1"/>
  <c r="B2" i="2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H9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E2" i="2"/>
  <c r="D3" i="2" s="1"/>
  <c r="E3" i="2" l="1"/>
  <c r="D4" i="2" s="1"/>
  <c r="E4" i="2" l="1"/>
  <c r="D5" i="2" s="1"/>
  <c r="E5" i="2" s="1"/>
  <c r="D6" i="2" s="1"/>
  <c r="E6" i="2" s="1"/>
  <c r="D7" i="2" s="1"/>
  <c r="E7" i="2" s="1"/>
  <c r="D8" i="2" s="1"/>
  <c r="E8" i="2" s="1"/>
  <c r="D9" i="2" s="1"/>
  <c r="E9" i="2" s="1"/>
  <c r="D10" i="2" s="1"/>
  <c r="E10" i="2" s="1"/>
  <c r="D11" i="2" s="1"/>
  <c r="E11" i="2" l="1"/>
  <c r="D12" i="2" s="1"/>
  <c r="E12" i="2" s="1"/>
  <c r="D13" i="2" s="1"/>
  <c r="E13" i="2" s="1"/>
  <c r="D14" i="2" s="1"/>
  <c r="E14" i="2" l="1"/>
  <c r="D15" i="2" s="1"/>
  <c r="E15" i="2" s="1"/>
  <c r="D16" i="2" s="1"/>
  <c r="E16" i="2" s="1"/>
  <c r="D17" i="2" s="1"/>
  <c r="E17" i="2" l="1"/>
  <c r="D18" i="2" s="1"/>
  <c r="E18" i="2" s="1"/>
  <c r="D19" i="2" s="1"/>
  <c r="E19" i="2" s="1"/>
  <c r="D20" i="2" s="1"/>
  <c r="E20" i="2" s="1"/>
  <c r="D21" i="2" s="1"/>
  <c r="E21" i="2" l="1"/>
  <c r="D22" i="2" s="1"/>
  <c r="E22" i="2" s="1"/>
  <c r="D23" i="2" s="1"/>
  <c r="E11" i="3" l="1"/>
  <c r="E23" i="2"/>
  <c r="D24" i="2" s="1"/>
  <c r="E24" i="2" s="1"/>
  <c r="D25" i="2" s="1"/>
  <c r="E25" i="2" s="1"/>
  <c r="D26" i="2" s="1"/>
  <c r="E26" i="2" s="1"/>
  <c r="D27" i="2" s="1"/>
  <c r="E27" i="2" s="1"/>
  <c r="D28" i="2" s="1"/>
  <c r="E28" i="2" s="1"/>
  <c r="D29" i="2" s="1"/>
  <c r="E29" i="2" s="1"/>
  <c r="D30" i="2" s="1"/>
  <c r="E30" i="2" s="1"/>
  <c r="D31" i="2" s="1"/>
  <c r="E31" i="2" s="1"/>
  <c r="D32" i="2" s="1"/>
  <c r="E32" i="2" s="1"/>
  <c r="D33" i="2" s="1"/>
  <c r="E33" i="2" s="1"/>
  <c r="D34" i="2" s="1"/>
  <c r="E34" i="2" s="1"/>
  <c r="D35" i="2" s="1"/>
  <c r="E35" i="2" s="1"/>
  <c r="D36" i="2" s="1"/>
  <c r="E36" i="2" s="1"/>
  <c r="D37" i="2" s="1"/>
  <c r="E37" i="2" s="1"/>
  <c r="D38" i="2" s="1"/>
  <c r="E38" i="2" s="1"/>
  <c r="D39" i="2" s="1"/>
  <c r="E39" i="2" s="1"/>
  <c r="D40" i="2" s="1"/>
  <c r="E40" i="2" s="1"/>
  <c r="D41" i="2" s="1"/>
  <c r="E41" i="2" s="1"/>
  <c r="D42" i="2" s="1"/>
  <c r="E42" i="2" s="1"/>
  <c r="D43" i="2" s="1"/>
  <c r="E43" i="2" s="1"/>
  <c r="D44" i="2" s="1"/>
  <c r="E44" i="2" s="1"/>
  <c r="D45" i="2" s="1"/>
  <c r="E45" i="2" s="1"/>
  <c r="D46" i="2" s="1"/>
  <c r="E46" i="2" s="1"/>
  <c r="D47" i="2" s="1"/>
  <c r="E47" i="2" s="1"/>
  <c r="D48" i="2" s="1"/>
  <c r="E48" i="2" s="1"/>
  <c r="D49" i="2" s="1"/>
  <c r="E49" i="2" s="1"/>
  <c r="D50" i="2" s="1"/>
  <c r="E50" i="2" s="1"/>
  <c r="D51" i="2" s="1"/>
  <c r="E51" i="2" s="1"/>
  <c r="D52" i="2" s="1"/>
  <c r="E52" i="2" s="1"/>
  <c r="D53" i="2" s="1"/>
  <c r="E53" i="2" s="1"/>
  <c r="D54" i="2" s="1"/>
  <c r="E54" i="2" s="1"/>
  <c r="D55" i="2" s="1"/>
  <c r="E55" i="2" s="1"/>
  <c r="D56" i="2" s="1"/>
  <c r="E56" i="2" s="1"/>
  <c r="D57" i="2" s="1"/>
  <c r="E57" i="2" s="1"/>
  <c r="D58" i="2" s="1"/>
  <c r="E58" i="2" s="1"/>
  <c r="D59" i="2" s="1"/>
  <c r="E59" i="2" s="1"/>
  <c r="D60" i="2" s="1"/>
  <c r="E60" i="2" s="1"/>
  <c r="D61" i="2" s="1"/>
  <c r="E61" i="2" s="1"/>
  <c r="D62" i="2" s="1"/>
  <c r="E62" i="2" s="1"/>
  <c r="D63" i="2" s="1"/>
  <c r="E63" i="2" s="1"/>
  <c r="D64" i="2" s="1"/>
  <c r="E64" i="2" s="1"/>
  <c r="D65" i="2" s="1"/>
  <c r="E65" i="2" s="1"/>
  <c r="D66" i="2" s="1"/>
  <c r="E66" i="2" s="1"/>
  <c r="D67" i="2" s="1"/>
  <c r="E67" i="2" s="1"/>
  <c r="D68" i="2" l="1"/>
  <c r="E68" i="2" s="1"/>
  <c r="D69" i="2" s="1"/>
  <c r="E69" i="2" s="1"/>
  <c r="D70" i="2" s="1"/>
  <c r="E70" i="2" s="1"/>
  <c r="D71" i="2" s="1"/>
  <c r="E71" i="2" s="1"/>
  <c r="D72" i="2" s="1"/>
  <c r="E72" i="2" s="1"/>
  <c r="G8" i="3"/>
  <c r="D73" i="2" l="1"/>
  <c r="E73" i="2" s="1"/>
  <c r="D74" i="2" s="1"/>
  <c r="E74" i="2" s="1"/>
  <c r="D75" i="2" s="1"/>
  <c r="E75" i="2" s="1"/>
  <c r="D76" i="2" s="1"/>
  <c r="E76" i="2" s="1"/>
  <c r="D77" i="2" s="1"/>
  <c r="E77" i="2" s="1"/>
  <c r="D78" i="2" s="1"/>
  <c r="E78" i="2" s="1"/>
  <c r="D79" i="2" s="1"/>
  <c r="E79" i="2" s="1"/>
  <c r="D80" i="2" s="1"/>
  <c r="E80" i="2" s="1"/>
  <c r="G10" i="3"/>
  <c r="D81" i="2" l="1"/>
  <c r="E81" i="2" s="1"/>
  <c r="D82" i="2" s="1"/>
  <c r="E82" i="2" s="1"/>
  <c r="D83" i="2" s="1"/>
  <c r="E83" i="2" s="1"/>
  <c r="D84" i="2" s="1"/>
  <c r="E84" i="2" s="1"/>
  <c r="D85" i="2" s="1"/>
  <c r="E85" i="2" s="1"/>
  <c r="D86" i="2" s="1"/>
  <c r="E86" i="2" s="1"/>
  <c r="D87" i="2" s="1"/>
  <c r="E87" i="2" s="1"/>
  <c r="D88" i="2" s="1"/>
  <c r="E88" i="2" s="1"/>
  <c r="D89" i="2" s="1"/>
  <c r="E89" i="2" s="1"/>
  <c r="D90" i="2" s="1"/>
  <c r="E90" i="2" s="1"/>
  <c r="D91" i="2" s="1"/>
  <c r="E91" i="2" s="1"/>
  <c r="D92" i="2" s="1"/>
  <c r="E92" i="2" s="1"/>
  <c r="D93" i="2" s="1"/>
  <c r="E93" i="2" s="1"/>
  <c r="G4" i="3"/>
  <c r="D94" i="2" l="1"/>
  <c r="E94" i="2" s="1"/>
  <c r="D95" i="2" s="1"/>
  <c r="E95" i="2" s="1"/>
  <c r="D96" i="2" s="1"/>
  <c r="E96" i="2" s="1"/>
  <c r="G5" i="3"/>
  <c r="D97" i="2" l="1"/>
  <c r="E97" i="2" s="1"/>
  <c r="D98" i="2" s="1"/>
  <c r="E98" i="2" s="1"/>
  <c r="G3" i="3"/>
  <c r="D99" i="2" l="1"/>
  <c r="E99" i="2" s="1"/>
  <c r="D100" i="2" s="1"/>
  <c r="E100" i="2" s="1"/>
  <c r="D101" i="2" s="1"/>
  <c r="E101" i="2" s="1"/>
  <c r="G9" i="3"/>
  <c r="D102" i="2" l="1"/>
  <c r="E102" i="2" s="1"/>
  <c r="D103" i="2" s="1"/>
  <c r="E103" i="2" s="1"/>
  <c r="D104" i="2" s="1"/>
  <c r="E104" i="2" s="1"/>
  <c r="D105" i="2" s="1"/>
  <c r="E105" i="2" s="1"/>
  <c r="D106" i="2" s="1"/>
  <c r="E106" i="2" s="1"/>
  <c r="D107" i="2" s="1"/>
  <c r="E107" i="2" s="1"/>
  <c r="D108" i="2" s="1"/>
  <c r="E108" i="2" s="1"/>
  <c r="G6" i="3"/>
  <c r="D109" i="2" l="1"/>
  <c r="E109" i="2" s="1"/>
  <c r="D110" i="2" s="1"/>
  <c r="E110" i="2" s="1"/>
  <c r="D111" i="2" s="1"/>
  <c r="E111" i="2" s="1"/>
  <c r="G2" i="3" s="1"/>
  <c r="G7" i="3"/>
  <c r="D112" i="2" l="1"/>
  <c r="E112" i="2" s="1"/>
  <c r="D113" i="2" l="1"/>
  <c r="E113" i="2" s="1"/>
  <c r="D114" i="2" s="1"/>
  <c r="E114" i="2" s="1"/>
  <c r="D115" i="2" s="1"/>
  <c r="E115" i="2" s="1"/>
  <c r="D116" i="2" s="1"/>
  <c r="E116" i="2" s="1"/>
  <c r="D117" i="2" s="1"/>
  <c r="E117" i="2" s="1"/>
  <c r="D118" i="2" s="1"/>
  <c r="E118" i="2" s="1"/>
  <c r="D119" i="2" s="1"/>
  <c r="E119" i="2" s="1"/>
  <c r="D120" i="2" s="1"/>
  <c r="E120" i="2" s="1"/>
  <c r="D121" i="2" s="1"/>
  <c r="E121" i="2" s="1"/>
  <c r="D122" i="2" s="1"/>
  <c r="E122" i="2" s="1"/>
  <c r="D123" i="2" s="1"/>
  <c r="E123" i="2" s="1"/>
  <c r="D124" i="2" s="1"/>
  <c r="E124" i="2" s="1"/>
  <c r="D125" i="2" s="1"/>
  <c r="E125" i="2" s="1"/>
  <c r="D126" i="2" s="1"/>
  <c r="E126" i="2" s="1"/>
  <c r="D127" i="2" s="1"/>
  <c r="E127" i="2" s="1"/>
  <c r="D128" i="2" s="1"/>
  <c r="E128" i="2" s="1"/>
  <c r="D129" i="2" s="1"/>
  <c r="E129" i="2" s="1"/>
  <c r="D130" i="2" s="1"/>
  <c r="E130" i="2" s="1"/>
  <c r="D131" i="2" s="1"/>
  <c r="E131" i="2" s="1"/>
  <c r="D132" i="2" s="1"/>
  <c r="E132" i="2" s="1"/>
  <c r="D133" i="2" s="1"/>
  <c r="E133" i="2" s="1"/>
  <c r="D134" i="2" s="1"/>
  <c r="E134" i="2" s="1"/>
  <c r="D135" i="2" s="1"/>
  <c r="E135" i="2" s="1"/>
  <c r="D136" i="2" s="1"/>
  <c r="E136" i="2" s="1"/>
  <c r="D137" i="2" s="1"/>
  <c r="E137" i="2" s="1"/>
  <c r="D138" i="2" s="1"/>
  <c r="E138" i="2" s="1"/>
  <c r="D139" i="2" s="1"/>
  <c r="E139" i="2" s="1"/>
  <c r="D140" i="2" s="1"/>
  <c r="E140" i="2" s="1"/>
  <c r="D141" i="2" s="1"/>
  <c r="E141" i="2" s="1"/>
  <c r="D142" i="2" s="1"/>
  <c r="E142" i="2" s="1"/>
  <c r="D143" i="2" s="1"/>
  <c r="E143" i="2" s="1"/>
  <c r="D144" i="2" s="1"/>
  <c r="E144" i="2" s="1"/>
  <c r="D145" i="2" s="1"/>
  <c r="E145" i="2" s="1"/>
  <c r="D146" i="2" s="1"/>
  <c r="E146" i="2" s="1"/>
  <c r="D147" i="2" s="1"/>
  <c r="E147" i="2" s="1"/>
  <c r="D148" i="2" s="1"/>
  <c r="E148" i="2" s="1"/>
  <c r="D149" i="2" s="1"/>
  <c r="G11" i="3"/>
  <c r="E2" i="3" l="1"/>
  <c r="E149" i="2"/>
  <c r="D150" i="2" s="1"/>
  <c r="E150" i="2" s="1"/>
  <c r="D151" i="2" s="1"/>
  <c r="E3" i="3"/>
  <c r="E151" i="2" l="1"/>
  <c r="D152" i="2" s="1"/>
  <c r="E152" i="2" s="1"/>
  <c r="D153" i="2" s="1"/>
  <c r="E153" i="2" s="1"/>
  <c r="D154" i="2" s="1"/>
  <c r="E154" i="2" s="1"/>
  <c r="D155" i="2" s="1"/>
  <c r="E155" i="2" s="1"/>
  <c r="D156" i="2" s="1"/>
  <c r="E4" i="3"/>
  <c r="E156" i="2" l="1"/>
  <c r="D157" i="2" s="1"/>
  <c r="E5" i="3"/>
  <c r="E157" i="2" l="1"/>
  <c r="D158" i="2" s="1"/>
  <c r="E158" i="2" s="1"/>
  <c r="D159" i="2" s="1"/>
  <c r="E6" i="3"/>
  <c r="E7" i="3"/>
  <c r="E159" i="2" l="1"/>
  <c r="D160" i="2" s="1"/>
  <c r="E160" i="2" s="1"/>
  <c r="D161" i="2" s="1"/>
  <c r="E161" i="2"/>
  <c r="D162" i="2" s="1"/>
  <c r="E162" i="2" s="1"/>
  <c r="D163" i="2" s="1"/>
  <c r="E163" i="2" s="1"/>
  <c r="D164" i="2" s="1"/>
  <c r="E8" i="3"/>
  <c r="E164" i="2" l="1"/>
  <c r="D165" i="2" s="1"/>
  <c r="E165" i="2" s="1"/>
  <c r="D166" i="2" s="1"/>
  <c r="E9" i="3"/>
  <c r="E166" i="2" l="1"/>
  <c r="D167" i="2" s="1"/>
  <c r="E167" i="2" s="1"/>
  <c r="D168" i="2" s="1"/>
  <c r="E10" i="3"/>
  <c r="E16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<sst xmlns="http://schemas.openxmlformats.org/spreadsheetml/2006/main" count="804" uniqueCount="85">
  <si>
    <t>Codigo producto</t>
  </si>
  <si>
    <t>C01</t>
  </si>
  <si>
    <t>C02</t>
  </si>
  <si>
    <t>C03</t>
  </si>
  <si>
    <t>C04</t>
  </si>
  <si>
    <t>V01</t>
  </si>
  <si>
    <t>V02</t>
  </si>
  <si>
    <t>V03</t>
  </si>
  <si>
    <t>Maquina</t>
  </si>
  <si>
    <t>Etapa</t>
  </si>
  <si>
    <t>M1</t>
  </si>
  <si>
    <t xml:space="preserve">h x docena </t>
  </si>
  <si>
    <t>min x docena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</si>
  <si>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</si>
  <si>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</si>
  <si>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</si>
  <si>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</si>
  <si>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</si>
  <si>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</si>
  <si>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</si>
  <si>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</si>
  <si>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</si>
  <si>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</si>
  <si>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</si>
  <si>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</si>
  <si>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</si>
  <si>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</si>
  <si>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</si>
  <si>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</si>
  <si>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</si>
  <si>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</si>
  <si>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</si>
  <si>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</si>
  <si>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</si>
  <si>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</si>
  <si>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</si>
  <si>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</si>
  <si>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</si>
  <si>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Troquelado</t>
  </si>
  <si>
    <t>Ensamble</t>
  </si>
  <si>
    <t>Costura</t>
  </si>
  <si>
    <t>Volteado</t>
  </si>
  <si>
    <t>J01</t>
  </si>
  <si>
    <t>Fecha</t>
  </si>
  <si>
    <t>Dia semana</t>
  </si>
  <si>
    <t>Horas disponibles</t>
  </si>
  <si>
    <t>Dia</t>
  </si>
  <si>
    <t>Horas laborables</t>
  </si>
  <si>
    <t>1 Lunes</t>
  </si>
  <si>
    <t>2 Martes</t>
  </si>
  <si>
    <t>3 Miercoles</t>
  </si>
  <si>
    <t xml:space="preserve">4 Jueves </t>
  </si>
  <si>
    <t xml:space="preserve">5 Viernes </t>
  </si>
  <si>
    <t>6 Sabado</t>
  </si>
  <si>
    <t>7 Domingo</t>
  </si>
  <si>
    <t>H x Semana</t>
  </si>
  <si>
    <t>Orden de trabajo</t>
  </si>
  <si>
    <t>J02</t>
  </si>
  <si>
    <t>J03</t>
  </si>
  <si>
    <t>J04</t>
  </si>
  <si>
    <t>J05</t>
  </si>
  <si>
    <t>J06</t>
  </si>
  <si>
    <t>J07</t>
  </si>
  <si>
    <t>J08</t>
  </si>
  <si>
    <t>J09</t>
  </si>
  <si>
    <t>Codigo Producto</t>
  </si>
  <si>
    <t>J10</t>
  </si>
  <si>
    <t>Cantidad (docenas)</t>
  </si>
  <si>
    <t>Fecha de liberación</t>
  </si>
  <si>
    <t>Fechas de entrega</t>
  </si>
  <si>
    <t>M15</t>
  </si>
  <si>
    <t>M16</t>
  </si>
  <si>
    <t>M17</t>
  </si>
  <si>
    <t>M18</t>
  </si>
  <si>
    <t>M19</t>
  </si>
  <si>
    <t>r_j Liberación</t>
  </si>
  <si>
    <t>Horas acumuladas inicio día</t>
  </si>
  <si>
    <t>Horas acumuladas final día</t>
  </si>
  <si>
    <t>d_j horas</t>
  </si>
  <si>
    <t>Festivos</t>
  </si>
  <si>
    <t>M20</t>
  </si>
  <si>
    <t>M21</t>
  </si>
  <si>
    <t>M22</t>
  </si>
  <si>
    <t>M23</t>
  </si>
  <si>
    <t>M24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</si>
</sst>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FF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4" fillId="0" borderId="0" xfId="0" applyNumberFormat="1" applyFont="1"/>
    <xf numFmtId="164" fontId="3" fillId="0" borderId="0" xfId="0" applyNumberFormat="1" applyFont="1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A7E2-B97A-45EB-AD6E-1E7E808A494B}">
  <dimension ref="A1:G253"/>
  <sheetViews>
    <sheetView tabSelected="1" workbookViewId="0">
      <selection activeCell="D230" sqref="D229:D230"/>
    </sheetView>
  </sheetViews>
  <sheetFormatPr baseColWidth="10" defaultRowHeight="14.4" x14ac:dyDescent="0.3"/>
  <cols>
    <col min="1" max="1" width="14.109375" bestFit="1" customWidth="1"/>
  </cols>
  <sheetData>
    <row r="1" spans="1:7" s="1" customFormat="1" x14ac:dyDescent="0.3">
      <c r="A1" s="1" t="s">
        <v>0</v>
      </c>
      <c r="B1" s="1" t="s">
        <v>8</v>
      </c>
      <c r="C1" s="1" t="s">
        <v>9</v>
      </c>
      <c r="D1" s="1" t="s">
        <v>12</v>
      </c>
      <c r="E1" s="1" t="s">
        <v>11</v>
      </c>
    </row>
    <row r="2" spans="1:7" x14ac:dyDescent="0.3">
      <c r="A2" t="s">
        <v>1</v>
      </c>
      <c r="B2" t="s">
        <v>10</v>
      </c>
      <c r="C2" t="s">
        <v>38</v>
      </c>
      <c r="D2">
        <v>21.27</v>
      </c>
      <c r="E2">
        <f>D2/60</f>
        <v>0.35449999999999998</v>
      </c>
    </row>
    <row r="3" spans="1:7" x14ac:dyDescent="0.3">
      <c r="A3" t="s">
        <v>1</v>
      </c>
      <c r="B3" t="s">
        <v>13</v>
      </c>
      <c r="C3" t="s">
        <v>38</v>
      </c>
      <c r="D3">
        <v>21.27</v>
      </c>
      <c r="E3">
        <f t="shared" ref="E3:E56" si="0">D3/60</f>
        <v>0.35449999999999998</v>
      </c>
    </row>
    <row r="4" spans="1:7" x14ac:dyDescent="0.3">
      <c r="A4" t="s">
        <v>1</v>
      </c>
      <c r="B4" t="s">
        <v>14</v>
      </c>
      <c r="C4" t="s">
        <v>38</v>
      </c>
      <c r="D4">
        <v>21.27</v>
      </c>
      <c r="E4">
        <f t="shared" si="0"/>
        <v>0.35449999999999998</v>
      </c>
    </row>
    <row r="5" spans="1:7" x14ac:dyDescent="0.3">
      <c r="A5" t="s">
        <v>1</v>
      </c>
      <c r="B5" t="s">
        <v>15</v>
      </c>
      <c r="C5" t="s">
        <v>38</v>
      </c>
      <c r="D5">
        <v>21.27</v>
      </c>
      <c r="E5">
        <f t="shared" si="0"/>
        <v>0.35449999999999998</v>
      </c>
    </row>
    <row r="6" spans="1:7" x14ac:dyDescent="0.3">
      <c r="A6" t="s">
        <v>1</v>
      </c>
      <c r="B6" t="s">
        <v>16</v>
      </c>
      <c r="C6" t="s">
        <v>39</v>
      </c>
      <c r="D6">
        <v>53.12</v>
      </c>
      <c r="E6">
        <f t="shared" si="0"/>
        <v>0.88533333333333331</v>
      </c>
    </row>
    <row r="7" spans="1:7" x14ac:dyDescent="0.3">
      <c r="A7" t="s">
        <v>1</v>
      </c>
      <c r="B7" t="s">
        <v>17</v>
      </c>
      <c r="C7" t="s">
        <v>39</v>
      </c>
      <c r="D7">
        <v>53.12</v>
      </c>
      <c r="E7">
        <f t="shared" si="0"/>
        <v>0.88533333333333331</v>
      </c>
      <c r="G7" s="3"/>
    </row>
    <row r="8" spans="1:7" x14ac:dyDescent="0.3">
      <c r="A8" t="s">
        <v>1</v>
      </c>
      <c r="B8" t="s">
        <v>18</v>
      </c>
      <c r="C8" t="s">
        <v>39</v>
      </c>
      <c r="D8">
        <v>53.12</v>
      </c>
      <c r="E8">
        <f t="shared" si="0"/>
        <v>0.88533333333333331</v>
      </c>
    </row>
    <row r="9" spans="1:7" x14ac:dyDescent="0.3">
      <c r="A9" t="s">
        <v>1</v>
      </c>
      <c r="B9" t="s">
        <v>19</v>
      </c>
      <c r="C9" t="s">
        <v>39</v>
      </c>
      <c r="D9">
        <v>53.12</v>
      </c>
      <c r="E9">
        <f t="shared" si="0"/>
        <v>0.88533333333333331</v>
      </c>
      <c r="G9" s="2"/>
    </row>
    <row r="10" spans="1:7" x14ac:dyDescent="0.3">
      <c r="A10" t="s">
        <v>1</v>
      </c>
      <c r="B10" t="s">
        <v>20</v>
      </c>
      <c r="C10" t="s">
        <v>39</v>
      </c>
      <c r="D10">
        <v>53.12</v>
      </c>
      <c r="E10">
        <f t="shared" si="0"/>
        <v>0.88533333333333331</v>
      </c>
    </row>
    <row r="11" spans="1:7" x14ac:dyDescent="0.3">
      <c r="A11" t="s">
        <v>1</v>
      </c>
      <c r="B11" t="s">
        <v>21</v>
      </c>
      <c r="C11" t="s">
        <v>39</v>
      </c>
      <c r="D11">
        <v>53.12</v>
      </c>
      <c r="E11">
        <f t="shared" si="0"/>
        <v>0.88533333333333331</v>
      </c>
    </row>
    <row r="12" spans="1:7" x14ac:dyDescent="0.3">
      <c r="A12" t="s">
        <v>1</v>
      </c>
      <c r="B12" t="s">
        <v>22</v>
      </c>
      <c r="C12" t="s">
        <v>39</v>
      </c>
      <c r="D12">
        <v>53.12</v>
      </c>
      <c r="E12">
        <f t="shared" si="0"/>
        <v>0.88533333333333331</v>
      </c>
      <c r="G12" s="2"/>
    </row>
    <row r="13" spans="1:7" x14ac:dyDescent="0.3">
      <c r="A13" t="s">
        <v>1</v>
      </c>
      <c r="B13" t="s">
        <v>23</v>
      </c>
      <c r="C13" t="s">
        <v>39</v>
      </c>
      <c r="D13">
        <v>51.25</v>
      </c>
      <c r="E13">
        <f t="shared" si="0"/>
        <v>0.85416666666666663</v>
      </c>
    </row>
    <row r="14" spans="1:7" x14ac:dyDescent="0.3">
      <c r="A14" t="s">
        <v>1</v>
      </c>
      <c r="B14" t="s">
        <v>24</v>
      </c>
      <c r="C14" t="s">
        <v>39</v>
      </c>
      <c r="D14">
        <v>51.25</v>
      </c>
      <c r="E14">
        <f t="shared" si="0"/>
        <v>0.85416666666666663</v>
      </c>
      <c r="G14" s="2"/>
    </row>
    <row r="15" spans="1:7" x14ac:dyDescent="0.3">
      <c r="A15" t="s">
        <v>1</v>
      </c>
      <c r="B15" t="s">
        <v>25</v>
      </c>
      <c r="C15" t="s">
        <v>39</v>
      </c>
      <c r="D15">
        <v>51.25</v>
      </c>
      <c r="E15">
        <f t="shared" si="0"/>
        <v>0.85416666666666663</v>
      </c>
    </row>
    <row r="16" spans="1:7" x14ac:dyDescent="0.3">
      <c r="A16" t="s">
        <v>1</v>
      </c>
      <c r="B16" t="s">
        <v>70</v>
      </c>
      <c r="C16" t="s">
        <v>39</v>
      </c>
      <c r="D16">
        <v>51.25</v>
      </c>
      <c r="E16">
        <f t="shared" si="0"/>
        <v>0.85416666666666663</v>
      </c>
    </row>
    <row r="17" spans="1:5" x14ac:dyDescent="0.3">
      <c r="A17" t="s">
        <v>1</v>
      </c>
      <c r="B17" t="s">
        <v>71</v>
      </c>
      <c r="C17" t="s">
        <v>39</v>
      </c>
      <c r="D17">
        <v>48.79</v>
      </c>
      <c r="E17">
        <f t="shared" si="0"/>
        <v>0.8131666666666667</v>
      </c>
    </row>
    <row r="18" spans="1:5" x14ac:dyDescent="0.3">
      <c r="A18" t="s">
        <v>1</v>
      </c>
      <c r="B18" t="s">
        <v>72</v>
      </c>
      <c r="C18" t="s">
        <v>39</v>
      </c>
      <c r="D18">
        <v>48.79</v>
      </c>
      <c r="E18">
        <f t="shared" si="0"/>
        <v>0.8131666666666667</v>
      </c>
    </row>
    <row r="19" spans="1:5" x14ac:dyDescent="0.3">
      <c r="A19" t="s">
        <v>1</v>
      </c>
      <c r="B19" t="s">
        <v>73</v>
      </c>
      <c r="C19" t="s">
        <v>39</v>
      </c>
      <c r="D19">
        <v>48.79</v>
      </c>
      <c r="E19">
        <f t="shared" si="0"/>
        <v>0.8131666666666667</v>
      </c>
    </row>
    <row r="20" spans="1:5" x14ac:dyDescent="0.3">
      <c r="A20" t="s">
        <v>1</v>
      </c>
      <c r="B20" t="s">
        <v>74</v>
      </c>
      <c r="C20" t="s">
        <v>39</v>
      </c>
      <c r="D20">
        <v>48.79</v>
      </c>
      <c r="E20">
        <f t="shared" si="0"/>
        <v>0.8131666666666667</v>
      </c>
    </row>
    <row r="21" spans="1:5" x14ac:dyDescent="0.3">
      <c r="A21" t="s">
        <v>1</v>
      </c>
      <c r="B21" t="s">
        <v>80</v>
      </c>
      <c r="C21" t="s">
        <v>40</v>
      </c>
      <c r="D21">
        <v>38.07</v>
      </c>
      <c r="E21">
        <f t="shared" si="0"/>
        <v>0.63449999999999995</v>
      </c>
    </row>
    <row r="22" spans="1:5" x14ac:dyDescent="0.3">
      <c r="A22" t="s">
        <v>1</v>
      </c>
      <c r="B22" t="s">
        <v>81</v>
      </c>
      <c r="C22" t="s">
        <v>40</v>
      </c>
      <c r="D22">
        <v>38.07</v>
      </c>
      <c r="E22">
        <f t="shared" si="0"/>
        <v>0.63449999999999995</v>
      </c>
    </row>
    <row r="23" spans="1:5" x14ac:dyDescent="0.3">
      <c r="A23" t="s">
        <v>1</v>
      </c>
      <c r="B23" t="s">
        <v>82</v>
      </c>
      <c r="C23" t="s">
        <v>40</v>
      </c>
      <c r="D23">
        <v>38.07</v>
      </c>
      <c r="E23">
        <f t="shared" si="0"/>
        <v>0.63449999999999995</v>
      </c>
    </row>
    <row r="24" spans="1:5" x14ac:dyDescent="0.3">
      <c r="A24" t="s">
        <v>1</v>
      </c>
      <c r="B24" t="s">
        <v>83</v>
      </c>
      <c r="C24" t="s">
        <v>40</v>
      </c>
      <c r="D24">
        <v>38.07</v>
      </c>
      <c r="E24">
        <f t="shared" si="0"/>
        <v>0.63449999999999995</v>
      </c>
    </row>
    <row r="25" spans="1:5" x14ac:dyDescent="0.3">
      <c r="A25" t="s">
        <v>1</v>
      </c>
      <c r="B25" t="s">
        <v>84</v>
      </c>
      <c r="C25" t="s">
        <v>40</v>
      </c>
      <c r="D25">
        <v>38.07</v>
      </c>
      <c r="E25">
        <f t="shared" si="0"/>
        <v>0.63449999999999995</v>
      </c>
    </row>
    <row r="26" spans="1:5" x14ac:dyDescent="0.3">
      <c r="A26" t="s">
        <v>1</v>
      </c>
      <c r="B26" t="s">
        <v>26</v>
      </c>
      <c r="C26" t="s">
        <v>40</v>
      </c>
      <c r="D26">
        <v>38.07</v>
      </c>
      <c r="E26">
        <f t="shared" si="0"/>
        <v>0.63449999999999995</v>
      </c>
    </row>
    <row r="27" spans="1:5" x14ac:dyDescent="0.3">
      <c r="A27" t="s">
        <v>1</v>
      </c>
      <c r="B27" t="s">
        <v>27</v>
      </c>
      <c r="C27" t="s">
        <v>40</v>
      </c>
      <c r="D27">
        <v>38.07</v>
      </c>
      <c r="E27">
        <f t="shared" si="0"/>
        <v>0.63449999999999995</v>
      </c>
    </row>
    <row r="28" spans="1:5" x14ac:dyDescent="0.3">
      <c r="A28" t="s">
        <v>1</v>
      </c>
      <c r="B28" t="s">
        <v>28</v>
      </c>
      <c r="C28" t="s">
        <v>40</v>
      </c>
      <c r="D28">
        <v>38.07</v>
      </c>
      <c r="E28">
        <f t="shared" si="0"/>
        <v>0.63449999999999995</v>
      </c>
    </row>
    <row r="29" spans="1:5" x14ac:dyDescent="0.3">
      <c r="A29" t="s">
        <v>1</v>
      </c>
      <c r="B29" t="s">
        <v>29</v>
      </c>
      <c r="C29" t="s">
        <v>40</v>
      </c>
      <c r="D29">
        <v>38.07</v>
      </c>
      <c r="E29">
        <f t="shared" si="0"/>
        <v>0.63449999999999995</v>
      </c>
    </row>
    <row r="30" spans="1:5" x14ac:dyDescent="0.3">
      <c r="A30" t="s">
        <v>1</v>
      </c>
      <c r="B30" t="s">
        <v>30</v>
      </c>
      <c r="C30" t="s">
        <v>41</v>
      </c>
      <c r="D30">
        <v>15.07</v>
      </c>
      <c r="E30">
        <f t="shared" si="0"/>
        <v>0.25116666666666665</v>
      </c>
    </row>
    <row r="31" spans="1:5" x14ac:dyDescent="0.3">
      <c r="A31" t="s">
        <v>1</v>
      </c>
      <c r="B31" t="s">
        <v>31</v>
      </c>
      <c r="C31" t="s">
        <v>41</v>
      </c>
      <c r="D31">
        <v>15.07</v>
      </c>
      <c r="E31">
        <f t="shared" si="0"/>
        <v>0.25116666666666665</v>
      </c>
    </row>
    <row r="32" spans="1:5" x14ac:dyDescent="0.3">
      <c r="A32" t="s">
        <v>1</v>
      </c>
      <c r="B32" t="s">
        <v>32</v>
      </c>
      <c r="C32" t="s">
        <v>41</v>
      </c>
      <c r="D32">
        <v>15.07</v>
      </c>
      <c r="E32">
        <f t="shared" si="0"/>
        <v>0.25116666666666665</v>
      </c>
    </row>
    <row r="33" spans="1:5" x14ac:dyDescent="0.3">
      <c r="A33" t="s">
        <v>1</v>
      </c>
      <c r="B33" t="s">
        <v>33</v>
      </c>
      <c r="C33" t="s">
        <v>41</v>
      </c>
      <c r="D33">
        <v>15.07</v>
      </c>
      <c r="E33">
        <f t="shared" si="0"/>
        <v>0.25116666666666665</v>
      </c>
    </row>
    <row r="34" spans="1:5" x14ac:dyDescent="0.3">
      <c r="A34" t="s">
        <v>1</v>
      </c>
      <c r="B34" t="s">
        <v>34</v>
      </c>
      <c r="C34" t="s">
        <v>41</v>
      </c>
      <c r="D34">
        <v>15.07</v>
      </c>
      <c r="E34">
        <f t="shared" si="0"/>
        <v>0.25116666666666665</v>
      </c>
    </row>
    <row r="35" spans="1:5" x14ac:dyDescent="0.3">
      <c r="A35" t="s">
        <v>1</v>
      </c>
      <c r="B35" t="s">
        <v>35</v>
      </c>
      <c r="C35" t="s">
        <v>41</v>
      </c>
      <c r="D35">
        <v>15.07</v>
      </c>
      <c r="E35">
        <f t="shared" si="0"/>
        <v>0.25116666666666665</v>
      </c>
    </row>
    <row r="36" spans="1:5" x14ac:dyDescent="0.3">
      <c r="A36" t="s">
        <v>1</v>
      </c>
      <c r="B36" t="s">
        <v>36</v>
      </c>
      <c r="C36" t="s">
        <v>41</v>
      </c>
      <c r="D36">
        <v>15.07</v>
      </c>
      <c r="E36">
        <f t="shared" si="0"/>
        <v>0.25116666666666665</v>
      </c>
    </row>
    <row r="37" spans="1:5" x14ac:dyDescent="0.3">
      <c r="A37" t="s">
        <v>1</v>
      </c>
      <c r="B37" t="s">
        <v>37</v>
      </c>
      <c r="C37" t="s">
        <v>41</v>
      </c>
      <c r="D37">
        <v>15.07</v>
      </c>
      <c r="E37">
        <f t="shared" si="0"/>
        <v>0.25116666666666665</v>
      </c>
    </row>
    <row r="38" spans="1:5" x14ac:dyDescent="0.3">
      <c r="A38" t="s">
        <v>2</v>
      </c>
      <c r="B38" t="s">
        <v>10</v>
      </c>
      <c r="C38" t="s">
        <v>38</v>
      </c>
      <c r="D38">
        <v>21.27</v>
      </c>
      <c r="E38">
        <f t="shared" si="0"/>
        <v>0.35449999999999998</v>
      </c>
    </row>
    <row r="39" spans="1:5" x14ac:dyDescent="0.3">
      <c r="A39" t="s">
        <v>2</v>
      </c>
      <c r="B39" t="s">
        <v>13</v>
      </c>
      <c r="C39" t="s">
        <v>38</v>
      </c>
      <c r="D39">
        <v>21.27</v>
      </c>
      <c r="E39">
        <f t="shared" si="0"/>
        <v>0.35449999999999998</v>
      </c>
    </row>
    <row r="40" spans="1:5" x14ac:dyDescent="0.3">
      <c r="A40" t="s">
        <v>2</v>
      </c>
      <c r="B40" t="s">
        <v>14</v>
      </c>
      <c r="C40" t="s">
        <v>38</v>
      </c>
      <c r="D40">
        <v>21.27</v>
      </c>
      <c r="E40">
        <f t="shared" si="0"/>
        <v>0.35449999999999998</v>
      </c>
    </row>
    <row r="41" spans="1:5" x14ac:dyDescent="0.3">
      <c r="A41" t="s">
        <v>2</v>
      </c>
      <c r="B41" t="s">
        <v>15</v>
      </c>
      <c r="C41" t="s">
        <v>38</v>
      </c>
      <c r="D41">
        <v>21.27</v>
      </c>
      <c r="E41">
        <f t="shared" si="0"/>
        <v>0.35449999999999998</v>
      </c>
    </row>
    <row r="42" spans="1:5" x14ac:dyDescent="0.3">
      <c r="A42" t="s">
        <v>2</v>
      </c>
      <c r="B42" t="s">
        <v>16</v>
      </c>
      <c r="C42" t="s">
        <v>39</v>
      </c>
      <c r="D42">
        <v>53.36</v>
      </c>
      <c r="E42">
        <f t="shared" si="0"/>
        <v>0.88933333333333331</v>
      </c>
    </row>
    <row r="43" spans="1:5" x14ac:dyDescent="0.3">
      <c r="A43" t="s">
        <v>2</v>
      </c>
      <c r="B43" t="s">
        <v>17</v>
      </c>
      <c r="C43" t="s">
        <v>39</v>
      </c>
      <c r="D43">
        <v>53.36</v>
      </c>
      <c r="E43">
        <f t="shared" si="0"/>
        <v>0.88933333333333331</v>
      </c>
    </row>
    <row r="44" spans="1:5" x14ac:dyDescent="0.3">
      <c r="A44" t="s">
        <v>2</v>
      </c>
      <c r="B44" t="s">
        <v>18</v>
      </c>
      <c r="C44" t="s">
        <v>39</v>
      </c>
      <c r="D44">
        <v>53.36</v>
      </c>
      <c r="E44">
        <f t="shared" si="0"/>
        <v>0.88933333333333331</v>
      </c>
    </row>
    <row r="45" spans="1:5" x14ac:dyDescent="0.3">
      <c r="A45" t="s">
        <v>2</v>
      </c>
      <c r="B45" t="s">
        <v>19</v>
      </c>
      <c r="C45" t="s">
        <v>39</v>
      </c>
      <c r="D45">
        <v>53.36</v>
      </c>
      <c r="E45">
        <f t="shared" si="0"/>
        <v>0.88933333333333331</v>
      </c>
    </row>
    <row r="46" spans="1:5" x14ac:dyDescent="0.3">
      <c r="A46" t="s">
        <v>2</v>
      </c>
      <c r="B46" t="s">
        <v>20</v>
      </c>
      <c r="C46" t="s">
        <v>39</v>
      </c>
      <c r="D46">
        <v>53.36</v>
      </c>
      <c r="E46">
        <f t="shared" si="0"/>
        <v>0.88933333333333331</v>
      </c>
    </row>
    <row r="47" spans="1:5" x14ac:dyDescent="0.3">
      <c r="A47" t="s">
        <v>2</v>
      </c>
      <c r="B47" t="s">
        <v>21</v>
      </c>
      <c r="C47" t="s">
        <v>39</v>
      </c>
      <c r="D47">
        <v>53.36</v>
      </c>
      <c r="E47">
        <f t="shared" si="0"/>
        <v>0.88933333333333331</v>
      </c>
    </row>
    <row r="48" spans="1:5" x14ac:dyDescent="0.3">
      <c r="A48" t="s">
        <v>2</v>
      </c>
      <c r="B48" t="s">
        <v>22</v>
      </c>
      <c r="C48" t="s">
        <v>39</v>
      </c>
      <c r="D48">
        <v>53.36</v>
      </c>
      <c r="E48">
        <f t="shared" si="0"/>
        <v>0.88933333333333331</v>
      </c>
    </row>
    <row r="49" spans="1:5" x14ac:dyDescent="0.3">
      <c r="A49" t="s">
        <v>2</v>
      </c>
      <c r="B49" t="s">
        <v>23</v>
      </c>
      <c r="C49" t="s">
        <v>39</v>
      </c>
      <c r="D49">
        <v>51.45</v>
      </c>
      <c r="E49">
        <f t="shared" si="0"/>
        <v>0.85750000000000004</v>
      </c>
    </row>
    <row r="50" spans="1:5" x14ac:dyDescent="0.3">
      <c r="A50" t="s">
        <v>2</v>
      </c>
      <c r="B50" t="s">
        <v>24</v>
      </c>
      <c r="C50" t="s">
        <v>39</v>
      </c>
      <c r="D50">
        <v>51.45</v>
      </c>
      <c r="E50">
        <f t="shared" si="0"/>
        <v>0.85750000000000004</v>
      </c>
    </row>
    <row r="51" spans="1:5" x14ac:dyDescent="0.3">
      <c r="A51" t="s">
        <v>2</v>
      </c>
      <c r="B51" t="s">
        <v>25</v>
      </c>
      <c r="C51" t="s">
        <v>39</v>
      </c>
      <c r="D51">
        <v>51.45</v>
      </c>
      <c r="E51">
        <f t="shared" si="0"/>
        <v>0.85750000000000004</v>
      </c>
    </row>
    <row r="52" spans="1:5" x14ac:dyDescent="0.3">
      <c r="A52" t="s">
        <v>2</v>
      </c>
      <c r="B52" t="s">
        <v>70</v>
      </c>
      <c r="C52" t="s">
        <v>39</v>
      </c>
      <c r="D52">
        <v>51.45</v>
      </c>
      <c r="E52">
        <f t="shared" si="0"/>
        <v>0.85750000000000004</v>
      </c>
    </row>
    <row r="53" spans="1:5" x14ac:dyDescent="0.3">
      <c r="A53" t="s">
        <v>2</v>
      </c>
      <c r="B53" t="s">
        <v>71</v>
      </c>
      <c r="C53" t="s">
        <v>39</v>
      </c>
      <c r="D53">
        <v>48.98</v>
      </c>
      <c r="E53">
        <f t="shared" si="0"/>
        <v>0.81633333333333324</v>
      </c>
    </row>
    <row r="54" spans="1:5" x14ac:dyDescent="0.3">
      <c r="A54" t="s">
        <v>2</v>
      </c>
      <c r="B54" t="s">
        <v>72</v>
      </c>
      <c r="C54" t="s">
        <v>39</v>
      </c>
      <c r="D54">
        <v>48.98</v>
      </c>
      <c r="E54">
        <f t="shared" si="0"/>
        <v>0.81633333333333324</v>
      </c>
    </row>
    <row r="55" spans="1:5" x14ac:dyDescent="0.3">
      <c r="A55" t="s">
        <v>2</v>
      </c>
      <c r="B55" t="s">
        <v>73</v>
      </c>
      <c r="C55" t="s">
        <v>39</v>
      </c>
      <c r="D55">
        <v>48.98</v>
      </c>
      <c r="E55">
        <f t="shared" si="0"/>
        <v>0.81633333333333324</v>
      </c>
    </row>
    <row r="56" spans="1:5" x14ac:dyDescent="0.3">
      <c r="A56" t="s">
        <v>2</v>
      </c>
      <c r="B56" t="s">
        <v>74</v>
      </c>
      <c r="C56" t="s">
        <v>39</v>
      </c>
      <c r="D56">
        <v>48.98</v>
      </c>
      <c r="E56">
        <f t="shared" si="0"/>
        <v>0.81633333333333324</v>
      </c>
    </row>
    <row r="57" spans="1:5" x14ac:dyDescent="0.3">
      <c r="A57" t="s">
        <v>2</v>
      </c>
      <c r="B57" t="s">
        <v>80</v>
      </c>
      <c r="C57" t="s">
        <v>40</v>
      </c>
      <c r="D57">
        <v>38.56</v>
      </c>
      <c r="E57">
        <f t="shared" ref="E57:E115" si="1">D57/60</f>
        <v>0.64266666666666672</v>
      </c>
    </row>
    <row r="58" spans="1:5" x14ac:dyDescent="0.3">
      <c r="A58" t="s">
        <v>2</v>
      </c>
      <c r="B58" t="s">
        <v>81</v>
      </c>
      <c r="C58" t="s">
        <v>40</v>
      </c>
      <c r="D58">
        <v>38.56</v>
      </c>
      <c r="E58">
        <f t="shared" si="1"/>
        <v>0.64266666666666672</v>
      </c>
    </row>
    <row r="59" spans="1:5" x14ac:dyDescent="0.3">
      <c r="A59" t="s">
        <v>2</v>
      </c>
      <c r="B59" t="s">
        <v>82</v>
      </c>
      <c r="C59" t="s">
        <v>40</v>
      </c>
      <c r="D59">
        <v>38.56</v>
      </c>
      <c r="E59">
        <f t="shared" si="1"/>
        <v>0.64266666666666672</v>
      </c>
    </row>
    <row r="60" spans="1:5" x14ac:dyDescent="0.3">
      <c r="A60" t="s">
        <v>2</v>
      </c>
      <c r="B60" t="s">
        <v>83</v>
      </c>
      <c r="C60" t="s">
        <v>40</v>
      </c>
      <c r="D60">
        <v>38.56</v>
      </c>
      <c r="E60">
        <f t="shared" si="1"/>
        <v>0.64266666666666672</v>
      </c>
    </row>
    <row r="61" spans="1:5" x14ac:dyDescent="0.3">
      <c r="A61" t="s">
        <v>2</v>
      </c>
      <c r="B61" t="s">
        <v>84</v>
      </c>
      <c r="C61" t="s">
        <v>40</v>
      </c>
      <c r="D61">
        <v>38.56</v>
      </c>
      <c r="E61">
        <f t="shared" si="1"/>
        <v>0.64266666666666672</v>
      </c>
    </row>
    <row r="62" spans="1:5" x14ac:dyDescent="0.3">
      <c r="A62" t="s">
        <v>2</v>
      </c>
      <c r="B62" t="s">
        <v>26</v>
      </c>
      <c r="C62" t="s">
        <v>40</v>
      </c>
      <c r="D62">
        <v>38.56</v>
      </c>
      <c r="E62">
        <f t="shared" si="1"/>
        <v>0.64266666666666672</v>
      </c>
    </row>
    <row r="63" spans="1:5" x14ac:dyDescent="0.3">
      <c r="A63" t="s">
        <v>2</v>
      </c>
      <c r="B63" t="s">
        <v>27</v>
      </c>
      <c r="C63" t="s">
        <v>40</v>
      </c>
      <c r="D63">
        <v>38.56</v>
      </c>
      <c r="E63">
        <f t="shared" si="1"/>
        <v>0.64266666666666672</v>
      </c>
    </row>
    <row r="64" spans="1:5" x14ac:dyDescent="0.3">
      <c r="A64" t="s">
        <v>2</v>
      </c>
      <c r="B64" t="s">
        <v>28</v>
      </c>
      <c r="C64" t="s">
        <v>40</v>
      </c>
      <c r="D64">
        <v>38.56</v>
      </c>
      <c r="E64">
        <f t="shared" si="1"/>
        <v>0.64266666666666672</v>
      </c>
    </row>
    <row r="65" spans="1:5" x14ac:dyDescent="0.3">
      <c r="A65" t="s">
        <v>2</v>
      </c>
      <c r="B65" t="s">
        <v>29</v>
      </c>
      <c r="C65" t="s">
        <v>40</v>
      </c>
      <c r="D65">
        <v>38.56</v>
      </c>
      <c r="E65">
        <f t="shared" si="1"/>
        <v>0.64266666666666672</v>
      </c>
    </row>
    <row r="66" spans="1:5" x14ac:dyDescent="0.3">
      <c r="A66" t="s">
        <v>2</v>
      </c>
      <c r="B66" t="s">
        <v>30</v>
      </c>
      <c r="C66" t="s">
        <v>41</v>
      </c>
      <c r="D66">
        <v>15.07</v>
      </c>
      <c r="E66">
        <f t="shared" si="1"/>
        <v>0.25116666666666665</v>
      </c>
    </row>
    <row r="67" spans="1:5" x14ac:dyDescent="0.3">
      <c r="A67" t="s">
        <v>2</v>
      </c>
      <c r="B67" t="s">
        <v>31</v>
      </c>
      <c r="C67" t="s">
        <v>41</v>
      </c>
      <c r="D67">
        <v>15.07</v>
      </c>
      <c r="E67">
        <f t="shared" si="1"/>
        <v>0.25116666666666665</v>
      </c>
    </row>
    <row r="68" spans="1:5" x14ac:dyDescent="0.3">
      <c r="A68" t="s">
        <v>2</v>
      </c>
      <c r="B68" t="s">
        <v>32</v>
      </c>
      <c r="C68" t="s">
        <v>41</v>
      </c>
      <c r="D68">
        <v>15.07</v>
      </c>
      <c r="E68">
        <f t="shared" si="1"/>
        <v>0.25116666666666665</v>
      </c>
    </row>
    <row r="69" spans="1:5" x14ac:dyDescent="0.3">
      <c r="A69" t="s">
        <v>2</v>
      </c>
      <c r="B69" t="s">
        <v>33</v>
      </c>
      <c r="C69" t="s">
        <v>41</v>
      </c>
      <c r="D69">
        <v>15.07</v>
      </c>
      <c r="E69">
        <f t="shared" si="1"/>
        <v>0.25116666666666665</v>
      </c>
    </row>
    <row r="70" spans="1:5" x14ac:dyDescent="0.3">
      <c r="A70" t="s">
        <v>2</v>
      </c>
      <c r="B70" t="s">
        <v>34</v>
      </c>
      <c r="C70" t="s">
        <v>41</v>
      </c>
      <c r="D70">
        <v>15.07</v>
      </c>
      <c r="E70">
        <f t="shared" si="1"/>
        <v>0.25116666666666665</v>
      </c>
    </row>
    <row r="71" spans="1:5" x14ac:dyDescent="0.3">
      <c r="A71" t="s">
        <v>2</v>
      </c>
      <c r="B71" t="s">
        <v>35</v>
      </c>
      <c r="C71" t="s">
        <v>41</v>
      </c>
      <c r="D71">
        <v>15.07</v>
      </c>
      <c r="E71">
        <f t="shared" si="1"/>
        <v>0.25116666666666665</v>
      </c>
    </row>
    <row r="72" spans="1:5" x14ac:dyDescent="0.3">
      <c r="A72" t="s">
        <v>2</v>
      </c>
      <c r="B72" t="s">
        <v>36</v>
      </c>
      <c r="C72" t="s">
        <v>41</v>
      </c>
      <c r="D72">
        <v>15.07</v>
      </c>
      <c r="E72">
        <f t="shared" si="1"/>
        <v>0.25116666666666665</v>
      </c>
    </row>
    <row r="73" spans="1:5" x14ac:dyDescent="0.3">
      <c r="A73" t="s">
        <v>2</v>
      </c>
      <c r="B73" t="s">
        <v>37</v>
      </c>
      <c r="C73" t="s">
        <v>41</v>
      </c>
      <c r="D73">
        <v>15.07</v>
      </c>
      <c r="E73">
        <f t="shared" si="1"/>
        <v>0.25116666666666665</v>
      </c>
    </row>
    <row r="74" spans="1:5" x14ac:dyDescent="0.3">
      <c r="A74" t="s">
        <v>3</v>
      </c>
      <c r="B74" t="s">
        <v>10</v>
      </c>
      <c r="C74" t="s">
        <v>38</v>
      </c>
      <c r="D74">
        <v>22.34</v>
      </c>
      <c r="E74">
        <f t="shared" si="1"/>
        <v>0.37233333333333335</v>
      </c>
    </row>
    <row r="75" spans="1:5" x14ac:dyDescent="0.3">
      <c r="A75" t="s">
        <v>3</v>
      </c>
      <c r="B75" t="s">
        <v>13</v>
      </c>
      <c r="C75" t="s">
        <v>38</v>
      </c>
      <c r="D75">
        <v>22.34</v>
      </c>
      <c r="E75">
        <f t="shared" si="1"/>
        <v>0.37233333333333335</v>
      </c>
    </row>
    <row r="76" spans="1:5" x14ac:dyDescent="0.3">
      <c r="A76" t="s">
        <v>3</v>
      </c>
      <c r="B76" t="s">
        <v>14</v>
      </c>
      <c r="C76" t="s">
        <v>38</v>
      </c>
      <c r="D76">
        <v>22.34</v>
      </c>
      <c r="E76">
        <f t="shared" si="1"/>
        <v>0.37233333333333335</v>
      </c>
    </row>
    <row r="77" spans="1:5" x14ac:dyDescent="0.3">
      <c r="A77" t="s">
        <v>3</v>
      </c>
      <c r="B77" t="s">
        <v>15</v>
      </c>
      <c r="C77" t="s">
        <v>38</v>
      </c>
      <c r="D77">
        <v>22.34</v>
      </c>
      <c r="E77">
        <f t="shared" si="1"/>
        <v>0.37233333333333335</v>
      </c>
    </row>
    <row r="78" spans="1:5" x14ac:dyDescent="0.3">
      <c r="A78" t="s">
        <v>3</v>
      </c>
      <c r="B78" t="s">
        <v>16</v>
      </c>
      <c r="C78" t="s">
        <v>39</v>
      </c>
      <c r="D78">
        <v>54.43</v>
      </c>
      <c r="E78">
        <f t="shared" si="1"/>
        <v>0.90716666666666668</v>
      </c>
    </row>
    <row r="79" spans="1:5" x14ac:dyDescent="0.3">
      <c r="A79" t="s">
        <v>3</v>
      </c>
      <c r="B79" t="s">
        <v>17</v>
      </c>
      <c r="C79" t="s">
        <v>39</v>
      </c>
      <c r="D79">
        <v>54.43</v>
      </c>
      <c r="E79">
        <f t="shared" si="1"/>
        <v>0.90716666666666668</v>
      </c>
    </row>
    <row r="80" spans="1:5" x14ac:dyDescent="0.3">
      <c r="A80" t="s">
        <v>3</v>
      </c>
      <c r="B80" t="s">
        <v>18</v>
      </c>
      <c r="C80" t="s">
        <v>39</v>
      </c>
      <c r="D80">
        <v>54.43</v>
      </c>
      <c r="E80">
        <f t="shared" si="1"/>
        <v>0.90716666666666668</v>
      </c>
    </row>
    <row r="81" spans="1:5" x14ac:dyDescent="0.3">
      <c r="A81" t="s">
        <v>3</v>
      </c>
      <c r="B81" t="s">
        <v>19</v>
      </c>
      <c r="C81" t="s">
        <v>39</v>
      </c>
      <c r="D81">
        <v>54.43</v>
      </c>
      <c r="E81">
        <f t="shared" si="1"/>
        <v>0.90716666666666668</v>
      </c>
    </row>
    <row r="82" spans="1:5" x14ac:dyDescent="0.3">
      <c r="A82" t="s">
        <v>3</v>
      </c>
      <c r="B82" t="s">
        <v>20</v>
      </c>
      <c r="C82" t="s">
        <v>39</v>
      </c>
      <c r="D82">
        <v>54.43</v>
      </c>
      <c r="E82">
        <f t="shared" si="1"/>
        <v>0.90716666666666668</v>
      </c>
    </row>
    <row r="83" spans="1:5" x14ac:dyDescent="0.3">
      <c r="A83" t="s">
        <v>3</v>
      </c>
      <c r="B83" t="s">
        <v>21</v>
      </c>
      <c r="C83" t="s">
        <v>39</v>
      </c>
      <c r="D83">
        <v>54.43</v>
      </c>
      <c r="E83">
        <f t="shared" si="1"/>
        <v>0.90716666666666668</v>
      </c>
    </row>
    <row r="84" spans="1:5" x14ac:dyDescent="0.3">
      <c r="A84" t="s">
        <v>3</v>
      </c>
      <c r="B84" t="s">
        <v>22</v>
      </c>
      <c r="C84" t="s">
        <v>39</v>
      </c>
      <c r="D84">
        <v>54.43</v>
      </c>
      <c r="E84">
        <f t="shared" si="1"/>
        <v>0.90716666666666668</v>
      </c>
    </row>
    <row r="85" spans="1:5" x14ac:dyDescent="0.3">
      <c r="A85" t="s">
        <v>3</v>
      </c>
      <c r="B85" t="s">
        <v>23</v>
      </c>
      <c r="C85" t="s">
        <v>39</v>
      </c>
      <c r="D85">
        <v>52.04</v>
      </c>
      <c r="E85">
        <f t="shared" si="1"/>
        <v>0.86733333333333329</v>
      </c>
    </row>
    <row r="86" spans="1:5" x14ac:dyDescent="0.3">
      <c r="A86" t="s">
        <v>3</v>
      </c>
      <c r="B86" t="s">
        <v>24</v>
      </c>
      <c r="C86" t="s">
        <v>39</v>
      </c>
      <c r="D86">
        <v>52.04</v>
      </c>
      <c r="E86">
        <f t="shared" si="1"/>
        <v>0.86733333333333329</v>
      </c>
    </row>
    <row r="87" spans="1:5" x14ac:dyDescent="0.3">
      <c r="A87" t="s">
        <v>3</v>
      </c>
      <c r="B87" t="s">
        <v>25</v>
      </c>
      <c r="C87" t="s">
        <v>39</v>
      </c>
      <c r="D87">
        <v>52.04</v>
      </c>
      <c r="E87">
        <f t="shared" si="1"/>
        <v>0.86733333333333329</v>
      </c>
    </row>
    <row r="88" spans="1:5" x14ac:dyDescent="0.3">
      <c r="A88" t="s">
        <v>3</v>
      </c>
      <c r="B88" t="s">
        <v>70</v>
      </c>
      <c r="C88" t="s">
        <v>39</v>
      </c>
      <c r="D88">
        <v>52.04</v>
      </c>
      <c r="E88">
        <f t="shared" si="1"/>
        <v>0.86733333333333329</v>
      </c>
    </row>
    <row r="89" spans="1:5" x14ac:dyDescent="0.3">
      <c r="A89" t="s">
        <v>3</v>
      </c>
      <c r="B89" t="s">
        <v>71</v>
      </c>
      <c r="C89" t="s">
        <v>39</v>
      </c>
      <c r="D89">
        <v>49.54</v>
      </c>
      <c r="E89">
        <f t="shared" si="1"/>
        <v>0.82566666666666666</v>
      </c>
    </row>
    <row r="90" spans="1:5" x14ac:dyDescent="0.3">
      <c r="A90" t="s">
        <v>3</v>
      </c>
      <c r="B90" t="s">
        <v>72</v>
      </c>
      <c r="C90" t="s">
        <v>39</v>
      </c>
      <c r="D90">
        <v>49.54</v>
      </c>
      <c r="E90">
        <f t="shared" si="1"/>
        <v>0.82566666666666666</v>
      </c>
    </row>
    <row r="91" spans="1:5" x14ac:dyDescent="0.3">
      <c r="A91" t="s">
        <v>3</v>
      </c>
      <c r="B91" t="s">
        <v>73</v>
      </c>
      <c r="C91" t="s">
        <v>39</v>
      </c>
      <c r="D91">
        <v>49.54</v>
      </c>
      <c r="E91">
        <f t="shared" si="1"/>
        <v>0.82566666666666666</v>
      </c>
    </row>
    <row r="92" spans="1:5" x14ac:dyDescent="0.3">
      <c r="A92" t="s">
        <v>3</v>
      </c>
      <c r="B92" t="s">
        <v>74</v>
      </c>
      <c r="C92" t="s">
        <v>39</v>
      </c>
      <c r="D92">
        <v>49.54</v>
      </c>
      <c r="E92">
        <f t="shared" si="1"/>
        <v>0.82566666666666666</v>
      </c>
    </row>
    <row r="93" spans="1:5" x14ac:dyDescent="0.3">
      <c r="A93" t="s">
        <v>3</v>
      </c>
      <c r="B93" t="s">
        <v>80</v>
      </c>
      <c r="C93" t="s">
        <v>40</v>
      </c>
      <c r="D93">
        <v>38.950000000000003</v>
      </c>
      <c r="E93">
        <f t="shared" si="1"/>
        <v>0.64916666666666667</v>
      </c>
    </row>
    <row r="94" spans="1:5" x14ac:dyDescent="0.3">
      <c r="A94" t="s">
        <v>3</v>
      </c>
      <c r="B94" t="s">
        <v>81</v>
      </c>
      <c r="C94" t="s">
        <v>40</v>
      </c>
      <c r="D94">
        <v>38.950000000000003</v>
      </c>
      <c r="E94">
        <f t="shared" si="1"/>
        <v>0.64916666666666667</v>
      </c>
    </row>
    <row r="95" spans="1:5" x14ac:dyDescent="0.3">
      <c r="A95" t="s">
        <v>3</v>
      </c>
      <c r="B95" t="s">
        <v>82</v>
      </c>
      <c r="C95" t="s">
        <v>40</v>
      </c>
      <c r="D95">
        <v>38.950000000000003</v>
      </c>
      <c r="E95">
        <f t="shared" si="1"/>
        <v>0.64916666666666667</v>
      </c>
    </row>
    <row r="96" spans="1:5" x14ac:dyDescent="0.3">
      <c r="A96" t="s">
        <v>3</v>
      </c>
      <c r="B96" t="s">
        <v>83</v>
      </c>
      <c r="C96" t="s">
        <v>40</v>
      </c>
      <c r="D96">
        <v>38.950000000000003</v>
      </c>
      <c r="E96">
        <f t="shared" si="1"/>
        <v>0.64916666666666667</v>
      </c>
    </row>
    <row r="97" spans="1:5" x14ac:dyDescent="0.3">
      <c r="A97" t="s">
        <v>3</v>
      </c>
      <c r="B97" t="s">
        <v>84</v>
      </c>
      <c r="C97" t="s">
        <v>40</v>
      </c>
      <c r="D97">
        <v>38.950000000000003</v>
      </c>
      <c r="E97">
        <f t="shared" si="1"/>
        <v>0.64916666666666667</v>
      </c>
    </row>
    <row r="98" spans="1:5" x14ac:dyDescent="0.3">
      <c r="A98" t="s">
        <v>3</v>
      </c>
      <c r="B98" t="s">
        <v>26</v>
      </c>
      <c r="C98" t="s">
        <v>40</v>
      </c>
      <c r="D98">
        <v>38.950000000000003</v>
      </c>
      <c r="E98">
        <f t="shared" si="1"/>
        <v>0.64916666666666667</v>
      </c>
    </row>
    <row r="99" spans="1:5" x14ac:dyDescent="0.3">
      <c r="A99" t="s">
        <v>3</v>
      </c>
      <c r="B99" t="s">
        <v>27</v>
      </c>
      <c r="C99" t="s">
        <v>40</v>
      </c>
      <c r="D99">
        <v>38.950000000000003</v>
      </c>
      <c r="E99">
        <f t="shared" si="1"/>
        <v>0.64916666666666667</v>
      </c>
    </row>
    <row r="100" spans="1:5" x14ac:dyDescent="0.3">
      <c r="A100" t="s">
        <v>3</v>
      </c>
      <c r="B100" t="s">
        <v>28</v>
      </c>
      <c r="C100" t="s">
        <v>40</v>
      </c>
      <c r="D100">
        <v>38.950000000000003</v>
      </c>
      <c r="E100">
        <f t="shared" si="1"/>
        <v>0.64916666666666667</v>
      </c>
    </row>
    <row r="101" spans="1:5" x14ac:dyDescent="0.3">
      <c r="A101" t="s">
        <v>3</v>
      </c>
      <c r="B101" t="s">
        <v>29</v>
      </c>
      <c r="C101" t="s">
        <v>40</v>
      </c>
      <c r="D101">
        <v>38.950000000000003</v>
      </c>
      <c r="E101">
        <f t="shared" si="1"/>
        <v>0.64916666666666667</v>
      </c>
    </row>
    <row r="102" spans="1:5" x14ac:dyDescent="0.3">
      <c r="A102" t="s">
        <v>3</v>
      </c>
      <c r="B102" t="s">
        <v>30</v>
      </c>
      <c r="C102" t="s">
        <v>41</v>
      </c>
      <c r="D102">
        <v>15.11</v>
      </c>
      <c r="E102">
        <f t="shared" si="1"/>
        <v>0.2518333333333333</v>
      </c>
    </row>
    <row r="103" spans="1:5" x14ac:dyDescent="0.3">
      <c r="A103" t="s">
        <v>3</v>
      </c>
      <c r="B103" t="s">
        <v>31</v>
      </c>
      <c r="C103" t="s">
        <v>41</v>
      </c>
      <c r="D103">
        <v>15.11</v>
      </c>
      <c r="E103">
        <f t="shared" si="1"/>
        <v>0.2518333333333333</v>
      </c>
    </row>
    <row r="104" spans="1:5" x14ac:dyDescent="0.3">
      <c r="A104" t="s">
        <v>3</v>
      </c>
      <c r="B104" t="s">
        <v>32</v>
      </c>
      <c r="C104" t="s">
        <v>41</v>
      </c>
      <c r="D104">
        <v>15.11</v>
      </c>
      <c r="E104">
        <f t="shared" si="1"/>
        <v>0.2518333333333333</v>
      </c>
    </row>
    <row r="105" spans="1:5" x14ac:dyDescent="0.3">
      <c r="A105" t="s">
        <v>3</v>
      </c>
      <c r="B105" t="s">
        <v>33</v>
      </c>
      <c r="C105" t="s">
        <v>41</v>
      </c>
      <c r="D105">
        <v>15.11</v>
      </c>
      <c r="E105">
        <f t="shared" si="1"/>
        <v>0.2518333333333333</v>
      </c>
    </row>
    <row r="106" spans="1:5" x14ac:dyDescent="0.3">
      <c r="A106" t="s">
        <v>3</v>
      </c>
      <c r="B106" t="s">
        <v>34</v>
      </c>
      <c r="C106" t="s">
        <v>41</v>
      </c>
      <c r="D106">
        <v>15.11</v>
      </c>
      <c r="E106">
        <f t="shared" si="1"/>
        <v>0.2518333333333333</v>
      </c>
    </row>
    <row r="107" spans="1:5" x14ac:dyDescent="0.3">
      <c r="A107" t="s">
        <v>3</v>
      </c>
      <c r="B107" t="s">
        <v>35</v>
      </c>
      <c r="C107" t="s">
        <v>41</v>
      </c>
      <c r="D107">
        <v>15.11</v>
      </c>
      <c r="E107">
        <f t="shared" si="1"/>
        <v>0.2518333333333333</v>
      </c>
    </row>
    <row r="108" spans="1:5" x14ac:dyDescent="0.3">
      <c r="A108" t="s">
        <v>3</v>
      </c>
      <c r="B108" t="s">
        <v>36</v>
      </c>
      <c r="C108" t="s">
        <v>41</v>
      </c>
      <c r="D108">
        <v>15.11</v>
      </c>
      <c r="E108">
        <f t="shared" si="1"/>
        <v>0.2518333333333333</v>
      </c>
    </row>
    <row r="109" spans="1:5" x14ac:dyDescent="0.3">
      <c r="A109" t="s">
        <v>3</v>
      </c>
      <c r="B109" t="s">
        <v>37</v>
      </c>
      <c r="C109" t="s">
        <v>41</v>
      </c>
      <c r="D109">
        <v>15.11</v>
      </c>
      <c r="E109">
        <f t="shared" si="1"/>
        <v>0.2518333333333333</v>
      </c>
    </row>
    <row r="110" spans="1:5" x14ac:dyDescent="0.3">
      <c r="A110" t="s">
        <v>4</v>
      </c>
      <c r="B110" t="s">
        <v>10</v>
      </c>
      <c r="C110" t="s">
        <v>38</v>
      </c>
      <c r="D110">
        <v>23.42</v>
      </c>
      <c r="E110">
        <f t="shared" si="1"/>
        <v>0.39033333333333337</v>
      </c>
    </row>
    <row r="111" spans="1:5" x14ac:dyDescent="0.3">
      <c r="A111" t="s">
        <v>4</v>
      </c>
      <c r="B111" t="s">
        <v>13</v>
      </c>
      <c r="C111" t="s">
        <v>38</v>
      </c>
      <c r="D111">
        <v>23.42</v>
      </c>
      <c r="E111">
        <f t="shared" si="1"/>
        <v>0.39033333333333337</v>
      </c>
    </row>
    <row r="112" spans="1:5" x14ac:dyDescent="0.3">
      <c r="A112" t="s">
        <v>4</v>
      </c>
      <c r="B112" t="s">
        <v>14</v>
      </c>
      <c r="C112" t="s">
        <v>38</v>
      </c>
      <c r="D112">
        <v>23.42</v>
      </c>
      <c r="E112">
        <f t="shared" si="1"/>
        <v>0.39033333333333337</v>
      </c>
    </row>
    <row r="113" spans="1:5" x14ac:dyDescent="0.3">
      <c r="A113" t="s">
        <v>4</v>
      </c>
      <c r="B113" t="s">
        <v>15</v>
      </c>
      <c r="C113" t="s">
        <v>38</v>
      </c>
      <c r="D113">
        <v>23.42</v>
      </c>
      <c r="E113">
        <f t="shared" si="1"/>
        <v>0.39033333333333337</v>
      </c>
    </row>
    <row r="114" spans="1:5" x14ac:dyDescent="0.3">
      <c r="A114" t="s">
        <v>4</v>
      </c>
      <c r="B114" t="s">
        <v>16</v>
      </c>
      <c r="C114" t="s">
        <v>39</v>
      </c>
      <c r="D114">
        <v>56.71</v>
      </c>
      <c r="E114">
        <f t="shared" si="1"/>
        <v>0.94516666666666671</v>
      </c>
    </row>
    <row r="115" spans="1:5" x14ac:dyDescent="0.3">
      <c r="A115" t="s">
        <v>4</v>
      </c>
      <c r="B115" t="s">
        <v>17</v>
      </c>
      <c r="C115" t="s">
        <v>39</v>
      </c>
      <c r="D115">
        <v>56.71</v>
      </c>
      <c r="E115">
        <f t="shared" si="1"/>
        <v>0.94516666666666671</v>
      </c>
    </row>
    <row r="116" spans="1:5" x14ac:dyDescent="0.3">
      <c r="A116" t="s">
        <v>4</v>
      </c>
      <c r="B116" t="s">
        <v>18</v>
      </c>
      <c r="C116" t="s">
        <v>39</v>
      </c>
      <c r="D116">
        <v>56.71</v>
      </c>
      <c r="E116">
        <f t="shared" ref="E116:E145" si="2">D116/60</f>
        <v>0.94516666666666671</v>
      </c>
    </row>
    <row r="117" spans="1:5" x14ac:dyDescent="0.3">
      <c r="A117" t="s">
        <v>4</v>
      </c>
      <c r="B117" t="s">
        <v>19</v>
      </c>
      <c r="C117" t="s">
        <v>39</v>
      </c>
      <c r="D117">
        <v>56.71</v>
      </c>
      <c r="E117">
        <f t="shared" si="2"/>
        <v>0.94516666666666671</v>
      </c>
    </row>
    <row r="118" spans="1:5" x14ac:dyDescent="0.3">
      <c r="A118" t="s">
        <v>4</v>
      </c>
      <c r="B118" t="s">
        <v>20</v>
      </c>
      <c r="C118" t="s">
        <v>39</v>
      </c>
      <c r="D118">
        <v>56.71</v>
      </c>
      <c r="E118">
        <f t="shared" si="2"/>
        <v>0.94516666666666671</v>
      </c>
    </row>
    <row r="119" spans="1:5" x14ac:dyDescent="0.3">
      <c r="A119" t="s">
        <v>4</v>
      </c>
      <c r="B119" t="s">
        <v>21</v>
      </c>
      <c r="C119" t="s">
        <v>39</v>
      </c>
      <c r="D119">
        <v>56.71</v>
      </c>
      <c r="E119">
        <f t="shared" si="2"/>
        <v>0.94516666666666671</v>
      </c>
    </row>
    <row r="120" spans="1:5" x14ac:dyDescent="0.3">
      <c r="A120" t="s">
        <v>4</v>
      </c>
      <c r="B120" t="s">
        <v>22</v>
      </c>
      <c r="C120" t="s">
        <v>39</v>
      </c>
      <c r="D120">
        <v>56.71</v>
      </c>
      <c r="E120">
        <f t="shared" si="2"/>
        <v>0.94516666666666671</v>
      </c>
    </row>
    <row r="121" spans="1:5" x14ac:dyDescent="0.3">
      <c r="A121" t="s">
        <v>4</v>
      </c>
      <c r="B121" t="s">
        <v>23</v>
      </c>
      <c r="C121" t="s">
        <v>39</v>
      </c>
      <c r="D121">
        <v>54.22</v>
      </c>
      <c r="E121">
        <f t="shared" si="2"/>
        <v>0.90366666666666662</v>
      </c>
    </row>
    <row r="122" spans="1:5" x14ac:dyDescent="0.3">
      <c r="A122" t="s">
        <v>4</v>
      </c>
      <c r="B122" t="s">
        <v>24</v>
      </c>
      <c r="C122" t="s">
        <v>39</v>
      </c>
      <c r="D122">
        <v>54.22</v>
      </c>
      <c r="E122">
        <f t="shared" si="2"/>
        <v>0.90366666666666662</v>
      </c>
    </row>
    <row r="123" spans="1:5" x14ac:dyDescent="0.3">
      <c r="A123" t="s">
        <v>4</v>
      </c>
      <c r="B123" t="s">
        <v>25</v>
      </c>
      <c r="C123" t="s">
        <v>39</v>
      </c>
      <c r="D123">
        <v>54.22</v>
      </c>
      <c r="E123">
        <f t="shared" si="2"/>
        <v>0.90366666666666662</v>
      </c>
    </row>
    <row r="124" spans="1:5" x14ac:dyDescent="0.3">
      <c r="A124" t="s">
        <v>4</v>
      </c>
      <c r="B124" t="s">
        <v>70</v>
      </c>
      <c r="C124" t="s">
        <v>39</v>
      </c>
      <c r="D124">
        <v>54.22</v>
      </c>
      <c r="E124">
        <f t="shared" si="2"/>
        <v>0.90366666666666662</v>
      </c>
    </row>
    <row r="125" spans="1:5" x14ac:dyDescent="0.3">
      <c r="A125" t="s">
        <v>4</v>
      </c>
      <c r="B125" t="s">
        <v>71</v>
      </c>
      <c r="C125" t="s">
        <v>39</v>
      </c>
      <c r="D125">
        <v>51.61</v>
      </c>
      <c r="E125">
        <f t="shared" si="2"/>
        <v>0.86016666666666663</v>
      </c>
    </row>
    <row r="126" spans="1:5" x14ac:dyDescent="0.3">
      <c r="A126" t="s">
        <v>4</v>
      </c>
      <c r="B126" t="s">
        <v>72</v>
      </c>
      <c r="C126" t="s">
        <v>39</v>
      </c>
      <c r="D126">
        <v>51.61</v>
      </c>
      <c r="E126">
        <f t="shared" si="2"/>
        <v>0.86016666666666663</v>
      </c>
    </row>
    <row r="127" spans="1:5" x14ac:dyDescent="0.3">
      <c r="A127" t="s">
        <v>4</v>
      </c>
      <c r="B127" t="s">
        <v>73</v>
      </c>
      <c r="C127" t="s">
        <v>39</v>
      </c>
      <c r="D127">
        <v>51.61</v>
      </c>
      <c r="E127">
        <f t="shared" si="2"/>
        <v>0.86016666666666663</v>
      </c>
    </row>
    <row r="128" spans="1:5" x14ac:dyDescent="0.3">
      <c r="A128" t="s">
        <v>4</v>
      </c>
      <c r="B128" t="s">
        <v>74</v>
      </c>
      <c r="C128" t="s">
        <v>39</v>
      </c>
      <c r="D128">
        <v>51.61</v>
      </c>
      <c r="E128">
        <f t="shared" si="2"/>
        <v>0.86016666666666663</v>
      </c>
    </row>
    <row r="129" spans="1:5" x14ac:dyDescent="0.3">
      <c r="A129" t="s">
        <v>4</v>
      </c>
      <c r="B129" t="s">
        <v>80</v>
      </c>
      <c r="C129" t="s">
        <v>40</v>
      </c>
      <c r="D129">
        <v>41.74</v>
      </c>
      <c r="E129">
        <f t="shared" si="2"/>
        <v>0.69566666666666666</v>
      </c>
    </row>
    <row r="130" spans="1:5" x14ac:dyDescent="0.3">
      <c r="A130" t="s">
        <v>4</v>
      </c>
      <c r="B130" t="s">
        <v>81</v>
      </c>
      <c r="C130" t="s">
        <v>40</v>
      </c>
      <c r="D130">
        <v>41.74</v>
      </c>
      <c r="E130">
        <f t="shared" si="2"/>
        <v>0.69566666666666666</v>
      </c>
    </row>
    <row r="131" spans="1:5" x14ac:dyDescent="0.3">
      <c r="A131" t="s">
        <v>4</v>
      </c>
      <c r="B131" t="s">
        <v>82</v>
      </c>
      <c r="C131" t="s">
        <v>40</v>
      </c>
      <c r="D131">
        <v>41.74</v>
      </c>
      <c r="E131">
        <f t="shared" si="2"/>
        <v>0.69566666666666666</v>
      </c>
    </row>
    <row r="132" spans="1:5" x14ac:dyDescent="0.3">
      <c r="A132" t="s">
        <v>4</v>
      </c>
      <c r="B132" t="s">
        <v>83</v>
      </c>
      <c r="C132" t="s">
        <v>40</v>
      </c>
      <c r="D132">
        <v>41.74</v>
      </c>
      <c r="E132">
        <f t="shared" si="2"/>
        <v>0.69566666666666666</v>
      </c>
    </row>
    <row r="133" spans="1:5" x14ac:dyDescent="0.3">
      <c r="A133" t="s">
        <v>4</v>
      </c>
      <c r="B133" t="s">
        <v>84</v>
      </c>
      <c r="C133" t="s">
        <v>40</v>
      </c>
      <c r="D133">
        <v>41.74</v>
      </c>
      <c r="E133">
        <f t="shared" si="2"/>
        <v>0.69566666666666666</v>
      </c>
    </row>
    <row r="134" spans="1:5" x14ac:dyDescent="0.3">
      <c r="A134" t="s">
        <v>4</v>
      </c>
      <c r="B134" t="s">
        <v>26</v>
      </c>
      <c r="C134" t="s">
        <v>40</v>
      </c>
      <c r="D134">
        <v>41.74</v>
      </c>
      <c r="E134">
        <f t="shared" si="2"/>
        <v>0.69566666666666666</v>
      </c>
    </row>
    <row r="135" spans="1:5" x14ac:dyDescent="0.3">
      <c r="A135" t="s">
        <v>4</v>
      </c>
      <c r="B135" t="s">
        <v>27</v>
      </c>
      <c r="C135" t="s">
        <v>40</v>
      </c>
      <c r="D135">
        <v>41.74</v>
      </c>
      <c r="E135">
        <f t="shared" si="2"/>
        <v>0.69566666666666666</v>
      </c>
    </row>
    <row r="136" spans="1:5" x14ac:dyDescent="0.3">
      <c r="A136" t="s">
        <v>4</v>
      </c>
      <c r="B136" t="s">
        <v>28</v>
      </c>
      <c r="C136" t="s">
        <v>40</v>
      </c>
      <c r="D136">
        <v>41.74</v>
      </c>
      <c r="E136">
        <f t="shared" si="2"/>
        <v>0.69566666666666666</v>
      </c>
    </row>
    <row r="137" spans="1:5" x14ac:dyDescent="0.3">
      <c r="A137" t="s">
        <v>4</v>
      </c>
      <c r="B137" t="s">
        <v>29</v>
      </c>
      <c r="C137" t="s">
        <v>40</v>
      </c>
      <c r="D137">
        <v>41.74</v>
      </c>
      <c r="E137">
        <f t="shared" si="2"/>
        <v>0.69566666666666666</v>
      </c>
    </row>
    <row r="138" spans="1:5" x14ac:dyDescent="0.3">
      <c r="A138" t="s">
        <v>4</v>
      </c>
      <c r="B138" t="s">
        <v>30</v>
      </c>
      <c r="C138" t="s">
        <v>41</v>
      </c>
      <c r="D138">
        <v>15.11</v>
      </c>
      <c r="E138">
        <f t="shared" si="2"/>
        <v>0.2518333333333333</v>
      </c>
    </row>
    <row r="139" spans="1:5" x14ac:dyDescent="0.3">
      <c r="A139" t="s">
        <v>4</v>
      </c>
      <c r="B139" t="s">
        <v>31</v>
      </c>
      <c r="C139" t="s">
        <v>41</v>
      </c>
      <c r="D139">
        <v>15.11</v>
      </c>
      <c r="E139">
        <f t="shared" si="2"/>
        <v>0.2518333333333333</v>
      </c>
    </row>
    <row r="140" spans="1:5" x14ac:dyDescent="0.3">
      <c r="A140" t="s">
        <v>4</v>
      </c>
      <c r="B140" t="s">
        <v>32</v>
      </c>
      <c r="C140" t="s">
        <v>41</v>
      </c>
      <c r="D140">
        <v>15.11</v>
      </c>
      <c r="E140">
        <f t="shared" si="2"/>
        <v>0.2518333333333333</v>
      </c>
    </row>
    <row r="141" spans="1:5" x14ac:dyDescent="0.3">
      <c r="A141" t="s">
        <v>4</v>
      </c>
      <c r="B141" t="s">
        <v>33</v>
      </c>
      <c r="C141" t="s">
        <v>41</v>
      </c>
      <c r="D141">
        <v>15.11</v>
      </c>
      <c r="E141">
        <f t="shared" si="2"/>
        <v>0.2518333333333333</v>
      </c>
    </row>
    <row r="142" spans="1:5" x14ac:dyDescent="0.3">
      <c r="A142" t="s">
        <v>4</v>
      </c>
      <c r="B142" t="s">
        <v>34</v>
      </c>
      <c r="C142" t="s">
        <v>41</v>
      </c>
      <c r="D142">
        <v>15.11</v>
      </c>
      <c r="E142">
        <f t="shared" si="2"/>
        <v>0.2518333333333333</v>
      </c>
    </row>
    <row r="143" spans="1:5" x14ac:dyDescent="0.3">
      <c r="A143" t="s">
        <v>4</v>
      </c>
      <c r="B143" t="s">
        <v>35</v>
      </c>
      <c r="C143" t="s">
        <v>41</v>
      </c>
      <c r="D143">
        <v>15.11</v>
      </c>
      <c r="E143">
        <f t="shared" si="2"/>
        <v>0.2518333333333333</v>
      </c>
    </row>
    <row r="144" spans="1:5" x14ac:dyDescent="0.3">
      <c r="A144" t="s">
        <v>4</v>
      </c>
      <c r="B144" t="s">
        <v>36</v>
      </c>
      <c r="C144" t="s">
        <v>41</v>
      </c>
      <c r="D144">
        <v>15.11</v>
      </c>
      <c r="E144">
        <f t="shared" si="2"/>
        <v>0.2518333333333333</v>
      </c>
    </row>
    <row r="145" spans="1:5" x14ac:dyDescent="0.3">
      <c r="A145" t="s">
        <v>4</v>
      </c>
      <c r="B145" t="s">
        <v>37</v>
      </c>
      <c r="C145" t="s">
        <v>41</v>
      </c>
      <c r="D145">
        <v>15.11</v>
      </c>
      <c r="E145">
        <f t="shared" si="2"/>
        <v>0.2518333333333333</v>
      </c>
    </row>
    <row r="146" spans="1:5" x14ac:dyDescent="0.3">
      <c r="A146" t="s">
        <v>5</v>
      </c>
      <c r="B146" t="s">
        <v>10</v>
      </c>
      <c r="C146" t="s">
        <v>38</v>
      </c>
      <c r="D146">
        <v>20.18</v>
      </c>
      <c r="E146">
        <f>D146/60</f>
        <v>0.33633333333333332</v>
      </c>
    </row>
    <row r="147" spans="1:5" x14ac:dyDescent="0.3">
      <c r="A147" t="s">
        <v>5</v>
      </c>
      <c r="B147" t="s">
        <v>13</v>
      </c>
      <c r="C147" t="s">
        <v>38</v>
      </c>
      <c r="D147">
        <v>20.18</v>
      </c>
      <c r="E147">
        <f t="shared" ref="E147:E200" si="3">D147/60</f>
        <v>0.33633333333333332</v>
      </c>
    </row>
    <row r="148" spans="1:5" x14ac:dyDescent="0.3">
      <c r="A148" t="s">
        <v>5</v>
      </c>
      <c r="B148" t="s">
        <v>14</v>
      </c>
      <c r="C148" t="s">
        <v>38</v>
      </c>
      <c r="D148">
        <v>20.18</v>
      </c>
      <c r="E148">
        <f t="shared" si="3"/>
        <v>0.33633333333333332</v>
      </c>
    </row>
    <row r="149" spans="1:5" x14ac:dyDescent="0.3">
      <c r="A149" t="s">
        <v>5</v>
      </c>
      <c r="B149" t="s">
        <v>15</v>
      </c>
      <c r="C149" t="s">
        <v>38</v>
      </c>
      <c r="D149">
        <v>20.18</v>
      </c>
      <c r="E149">
        <f t="shared" si="3"/>
        <v>0.33633333333333332</v>
      </c>
    </row>
    <row r="150" spans="1:5" x14ac:dyDescent="0.3">
      <c r="A150" t="s">
        <v>5</v>
      </c>
      <c r="B150" t="s">
        <v>16</v>
      </c>
      <c r="C150" t="s">
        <v>39</v>
      </c>
      <c r="D150">
        <v>51.58</v>
      </c>
      <c r="E150">
        <f t="shared" si="3"/>
        <v>0.85966666666666669</v>
      </c>
    </row>
    <row r="151" spans="1:5" x14ac:dyDescent="0.3">
      <c r="A151" t="s">
        <v>5</v>
      </c>
      <c r="B151" t="s">
        <v>17</v>
      </c>
      <c r="C151" t="s">
        <v>39</v>
      </c>
      <c r="D151">
        <v>51.58</v>
      </c>
      <c r="E151">
        <f t="shared" si="3"/>
        <v>0.85966666666666669</v>
      </c>
    </row>
    <row r="152" spans="1:5" x14ac:dyDescent="0.3">
      <c r="A152" t="s">
        <v>5</v>
      </c>
      <c r="B152" t="s">
        <v>18</v>
      </c>
      <c r="C152" t="s">
        <v>39</v>
      </c>
      <c r="D152">
        <v>51.58</v>
      </c>
      <c r="E152">
        <f t="shared" si="3"/>
        <v>0.85966666666666669</v>
      </c>
    </row>
    <row r="153" spans="1:5" x14ac:dyDescent="0.3">
      <c r="A153" t="s">
        <v>5</v>
      </c>
      <c r="B153" t="s">
        <v>19</v>
      </c>
      <c r="C153" t="s">
        <v>39</v>
      </c>
      <c r="D153">
        <v>51.58</v>
      </c>
      <c r="E153">
        <f t="shared" si="3"/>
        <v>0.85966666666666669</v>
      </c>
    </row>
    <row r="154" spans="1:5" x14ac:dyDescent="0.3">
      <c r="A154" t="s">
        <v>5</v>
      </c>
      <c r="B154" t="s">
        <v>20</v>
      </c>
      <c r="C154" t="s">
        <v>39</v>
      </c>
      <c r="D154">
        <v>51.58</v>
      </c>
      <c r="E154">
        <f t="shared" si="3"/>
        <v>0.85966666666666669</v>
      </c>
    </row>
    <row r="155" spans="1:5" x14ac:dyDescent="0.3">
      <c r="A155" t="s">
        <v>5</v>
      </c>
      <c r="B155" t="s">
        <v>21</v>
      </c>
      <c r="C155" t="s">
        <v>39</v>
      </c>
      <c r="D155">
        <v>51.58</v>
      </c>
      <c r="E155">
        <f t="shared" si="3"/>
        <v>0.85966666666666669</v>
      </c>
    </row>
    <row r="156" spans="1:5" x14ac:dyDescent="0.3">
      <c r="A156" t="s">
        <v>5</v>
      </c>
      <c r="B156" t="s">
        <v>22</v>
      </c>
      <c r="C156" t="s">
        <v>39</v>
      </c>
      <c r="D156">
        <v>51.58</v>
      </c>
      <c r="E156">
        <f t="shared" si="3"/>
        <v>0.85966666666666669</v>
      </c>
    </row>
    <row r="157" spans="1:5" x14ac:dyDescent="0.3">
      <c r="A157" t="s">
        <v>5</v>
      </c>
      <c r="B157" t="s">
        <v>23</v>
      </c>
      <c r="C157" t="s">
        <v>39</v>
      </c>
      <c r="D157">
        <v>49.32</v>
      </c>
      <c r="E157">
        <f t="shared" si="3"/>
        <v>0.82199999999999995</v>
      </c>
    </row>
    <row r="158" spans="1:5" x14ac:dyDescent="0.3">
      <c r="A158" t="s">
        <v>5</v>
      </c>
      <c r="B158" t="s">
        <v>24</v>
      </c>
      <c r="C158" t="s">
        <v>39</v>
      </c>
      <c r="D158">
        <v>49.32</v>
      </c>
      <c r="E158">
        <f t="shared" si="3"/>
        <v>0.82199999999999995</v>
      </c>
    </row>
    <row r="159" spans="1:5" x14ac:dyDescent="0.3">
      <c r="A159" t="s">
        <v>5</v>
      </c>
      <c r="B159" t="s">
        <v>25</v>
      </c>
      <c r="C159" t="s">
        <v>39</v>
      </c>
      <c r="D159">
        <v>49.32</v>
      </c>
      <c r="E159">
        <f t="shared" si="3"/>
        <v>0.82199999999999995</v>
      </c>
    </row>
    <row r="160" spans="1:5" x14ac:dyDescent="0.3">
      <c r="A160" t="s">
        <v>5</v>
      </c>
      <c r="B160" t="s">
        <v>70</v>
      </c>
      <c r="C160" t="s">
        <v>39</v>
      </c>
      <c r="D160">
        <v>49.32</v>
      </c>
      <c r="E160">
        <f t="shared" si="3"/>
        <v>0.82199999999999995</v>
      </c>
    </row>
    <row r="161" spans="1:5" x14ac:dyDescent="0.3">
      <c r="A161" t="s">
        <v>5</v>
      </c>
      <c r="B161" t="s">
        <v>71</v>
      </c>
      <c r="C161" t="s">
        <v>39</v>
      </c>
      <c r="D161">
        <v>46.95</v>
      </c>
      <c r="E161">
        <f t="shared" si="3"/>
        <v>0.78250000000000008</v>
      </c>
    </row>
    <row r="162" spans="1:5" x14ac:dyDescent="0.3">
      <c r="A162" t="s">
        <v>5</v>
      </c>
      <c r="B162" t="s">
        <v>72</v>
      </c>
      <c r="C162" t="s">
        <v>39</v>
      </c>
      <c r="D162">
        <v>46.95</v>
      </c>
      <c r="E162">
        <f t="shared" si="3"/>
        <v>0.78250000000000008</v>
      </c>
    </row>
    <row r="163" spans="1:5" x14ac:dyDescent="0.3">
      <c r="A163" t="s">
        <v>5</v>
      </c>
      <c r="B163" t="s">
        <v>73</v>
      </c>
      <c r="C163" t="s">
        <v>39</v>
      </c>
      <c r="D163">
        <v>46.95</v>
      </c>
      <c r="E163">
        <f t="shared" si="3"/>
        <v>0.78250000000000008</v>
      </c>
    </row>
    <row r="164" spans="1:5" x14ac:dyDescent="0.3">
      <c r="A164" t="s">
        <v>5</v>
      </c>
      <c r="B164" t="s">
        <v>74</v>
      </c>
      <c r="C164" t="s">
        <v>39</v>
      </c>
      <c r="D164">
        <v>46.95</v>
      </c>
      <c r="E164">
        <f t="shared" si="3"/>
        <v>0.78250000000000008</v>
      </c>
    </row>
    <row r="165" spans="1:5" x14ac:dyDescent="0.3">
      <c r="A165" t="s">
        <v>5</v>
      </c>
      <c r="B165" t="s">
        <v>80</v>
      </c>
      <c r="C165" t="s">
        <v>40</v>
      </c>
      <c r="D165">
        <v>36.869999999999997</v>
      </c>
      <c r="E165">
        <f t="shared" si="3"/>
        <v>0.61449999999999994</v>
      </c>
    </row>
    <row r="166" spans="1:5" x14ac:dyDescent="0.3">
      <c r="A166" t="s">
        <v>5</v>
      </c>
      <c r="B166" t="s">
        <v>81</v>
      </c>
      <c r="C166" t="s">
        <v>40</v>
      </c>
      <c r="D166">
        <v>36.869999999999997</v>
      </c>
      <c r="E166">
        <f t="shared" si="3"/>
        <v>0.61449999999999994</v>
      </c>
    </row>
    <row r="167" spans="1:5" x14ac:dyDescent="0.3">
      <c r="A167" t="s">
        <v>5</v>
      </c>
      <c r="B167" t="s">
        <v>82</v>
      </c>
      <c r="C167" t="s">
        <v>40</v>
      </c>
      <c r="D167">
        <v>36.869999999999997</v>
      </c>
      <c r="E167">
        <f t="shared" si="3"/>
        <v>0.61449999999999994</v>
      </c>
    </row>
    <row r="168" spans="1:5" x14ac:dyDescent="0.3">
      <c r="A168" t="s">
        <v>5</v>
      </c>
      <c r="B168" t="s">
        <v>83</v>
      </c>
      <c r="C168" t="s">
        <v>40</v>
      </c>
      <c r="D168">
        <v>36.869999999999997</v>
      </c>
      <c r="E168">
        <f t="shared" si="3"/>
        <v>0.61449999999999994</v>
      </c>
    </row>
    <row r="169" spans="1:5" x14ac:dyDescent="0.3">
      <c r="A169" t="s">
        <v>5</v>
      </c>
      <c r="B169" t="s">
        <v>84</v>
      </c>
      <c r="C169" t="s">
        <v>40</v>
      </c>
      <c r="D169">
        <v>36.869999999999997</v>
      </c>
      <c r="E169">
        <f t="shared" si="3"/>
        <v>0.61449999999999994</v>
      </c>
    </row>
    <row r="170" spans="1:5" x14ac:dyDescent="0.3">
      <c r="A170" t="s">
        <v>5</v>
      </c>
      <c r="B170" t="s">
        <v>26</v>
      </c>
      <c r="C170" t="s">
        <v>40</v>
      </c>
      <c r="D170">
        <v>36.869999999999997</v>
      </c>
      <c r="E170">
        <f t="shared" si="3"/>
        <v>0.61449999999999994</v>
      </c>
    </row>
    <row r="171" spans="1:5" x14ac:dyDescent="0.3">
      <c r="A171" t="s">
        <v>5</v>
      </c>
      <c r="B171" t="s">
        <v>27</v>
      </c>
      <c r="C171" t="s">
        <v>40</v>
      </c>
      <c r="D171">
        <v>36.869999999999997</v>
      </c>
      <c r="E171">
        <f t="shared" si="3"/>
        <v>0.61449999999999994</v>
      </c>
    </row>
    <row r="172" spans="1:5" x14ac:dyDescent="0.3">
      <c r="A172" t="s">
        <v>5</v>
      </c>
      <c r="B172" t="s">
        <v>28</v>
      </c>
      <c r="C172" t="s">
        <v>40</v>
      </c>
      <c r="D172">
        <v>36.869999999999997</v>
      </c>
      <c r="E172">
        <f t="shared" si="3"/>
        <v>0.61449999999999994</v>
      </c>
    </row>
    <row r="173" spans="1:5" x14ac:dyDescent="0.3">
      <c r="A173" t="s">
        <v>5</v>
      </c>
      <c r="B173" t="s">
        <v>29</v>
      </c>
      <c r="C173" t="s">
        <v>40</v>
      </c>
      <c r="D173">
        <v>36.869999999999997</v>
      </c>
      <c r="E173">
        <f t="shared" si="3"/>
        <v>0.61449999999999994</v>
      </c>
    </row>
    <row r="174" spans="1:5" x14ac:dyDescent="0.3">
      <c r="A174" t="s">
        <v>5</v>
      </c>
      <c r="B174" t="s">
        <v>30</v>
      </c>
      <c r="C174" t="s">
        <v>41</v>
      </c>
      <c r="D174">
        <v>15.07</v>
      </c>
      <c r="E174">
        <f t="shared" si="3"/>
        <v>0.25116666666666665</v>
      </c>
    </row>
    <row r="175" spans="1:5" x14ac:dyDescent="0.3">
      <c r="A175" t="s">
        <v>5</v>
      </c>
      <c r="B175" t="s">
        <v>31</v>
      </c>
      <c r="C175" t="s">
        <v>41</v>
      </c>
      <c r="D175">
        <v>15.07</v>
      </c>
      <c r="E175">
        <f t="shared" si="3"/>
        <v>0.25116666666666665</v>
      </c>
    </row>
    <row r="176" spans="1:5" x14ac:dyDescent="0.3">
      <c r="A176" t="s">
        <v>5</v>
      </c>
      <c r="B176" t="s">
        <v>32</v>
      </c>
      <c r="C176" t="s">
        <v>41</v>
      </c>
      <c r="D176">
        <v>15.07</v>
      </c>
      <c r="E176">
        <f t="shared" si="3"/>
        <v>0.25116666666666665</v>
      </c>
    </row>
    <row r="177" spans="1:5" x14ac:dyDescent="0.3">
      <c r="A177" t="s">
        <v>5</v>
      </c>
      <c r="B177" t="s">
        <v>33</v>
      </c>
      <c r="C177" t="s">
        <v>41</v>
      </c>
      <c r="D177">
        <v>15.07</v>
      </c>
      <c r="E177">
        <f t="shared" si="3"/>
        <v>0.25116666666666665</v>
      </c>
    </row>
    <row r="178" spans="1:5" x14ac:dyDescent="0.3">
      <c r="A178" t="s">
        <v>5</v>
      </c>
      <c r="B178" t="s">
        <v>34</v>
      </c>
      <c r="C178" t="s">
        <v>41</v>
      </c>
      <c r="D178">
        <v>15.07</v>
      </c>
      <c r="E178">
        <f t="shared" si="3"/>
        <v>0.25116666666666665</v>
      </c>
    </row>
    <row r="179" spans="1:5" x14ac:dyDescent="0.3">
      <c r="A179" t="s">
        <v>5</v>
      </c>
      <c r="B179" t="s">
        <v>35</v>
      </c>
      <c r="C179" t="s">
        <v>41</v>
      </c>
      <c r="D179">
        <v>15.07</v>
      </c>
      <c r="E179">
        <f t="shared" si="3"/>
        <v>0.25116666666666665</v>
      </c>
    </row>
    <row r="180" spans="1:5" x14ac:dyDescent="0.3">
      <c r="A180" t="s">
        <v>5</v>
      </c>
      <c r="B180" t="s">
        <v>36</v>
      </c>
      <c r="C180" t="s">
        <v>41</v>
      </c>
      <c r="D180">
        <v>15.07</v>
      </c>
      <c r="E180">
        <f t="shared" si="3"/>
        <v>0.25116666666666665</v>
      </c>
    </row>
    <row r="181" spans="1:5" x14ac:dyDescent="0.3">
      <c r="A181" t="s">
        <v>5</v>
      </c>
      <c r="B181" t="s">
        <v>37</v>
      </c>
      <c r="C181" t="s">
        <v>41</v>
      </c>
      <c r="D181">
        <v>15.07</v>
      </c>
      <c r="E181">
        <f t="shared" si="3"/>
        <v>0.25116666666666665</v>
      </c>
    </row>
    <row r="182" spans="1:5" x14ac:dyDescent="0.3">
      <c r="A182" t="s">
        <v>6</v>
      </c>
      <c r="B182" t="s">
        <v>10</v>
      </c>
      <c r="C182" t="s">
        <v>38</v>
      </c>
      <c r="D182">
        <v>20.18</v>
      </c>
      <c r="E182">
        <f>D182/60</f>
        <v>0.33633333333333332</v>
      </c>
    </row>
    <row r="183" spans="1:5" x14ac:dyDescent="0.3">
      <c r="A183" t="s">
        <v>6</v>
      </c>
      <c r="B183" t="s">
        <v>13</v>
      </c>
      <c r="C183" t="s">
        <v>38</v>
      </c>
      <c r="D183">
        <v>20.18</v>
      </c>
      <c r="E183">
        <f t="shared" si="3"/>
        <v>0.33633333333333332</v>
      </c>
    </row>
    <row r="184" spans="1:5" x14ac:dyDescent="0.3">
      <c r="A184" t="s">
        <v>6</v>
      </c>
      <c r="B184" t="s">
        <v>14</v>
      </c>
      <c r="C184" t="s">
        <v>38</v>
      </c>
      <c r="D184">
        <v>20.18</v>
      </c>
      <c r="E184">
        <f t="shared" si="3"/>
        <v>0.33633333333333332</v>
      </c>
    </row>
    <row r="185" spans="1:5" x14ac:dyDescent="0.3">
      <c r="A185" t="s">
        <v>6</v>
      </c>
      <c r="B185" t="s">
        <v>15</v>
      </c>
      <c r="C185" t="s">
        <v>38</v>
      </c>
      <c r="D185">
        <v>20.18</v>
      </c>
      <c r="E185">
        <f t="shared" si="3"/>
        <v>0.33633333333333332</v>
      </c>
    </row>
    <row r="186" spans="1:5" x14ac:dyDescent="0.3">
      <c r="A186" t="s">
        <v>6</v>
      </c>
      <c r="B186" t="s">
        <v>16</v>
      </c>
      <c r="C186" t="s">
        <v>39</v>
      </c>
      <c r="D186">
        <v>52.97</v>
      </c>
      <c r="E186">
        <f t="shared" si="3"/>
        <v>0.88283333333333336</v>
      </c>
    </row>
    <row r="187" spans="1:5" x14ac:dyDescent="0.3">
      <c r="A187" t="s">
        <v>6</v>
      </c>
      <c r="B187" t="s">
        <v>17</v>
      </c>
      <c r="C187" t="s">
        <v>39</v>
      </c>
      <c r="D187">
        <v>52.97</v>
      </c>
      <c r="E187">
        <f t="shared" si="3"/>
        <v>0.88283333333333336</v>
      </c>
    </row>
    <row r="188" spans="1:5" x14ac:dyDescent="0.3">
      <c r="A188" t="s">
        <v>6</v>
      </c>
      <c r="B188" t="s">
        <v>18</v>
      </c>
      <c r="C188" t="s">
        <v>39</v>
      </c>
      <c r="D188">
        <v>52.97</v>
      </c>
      <c r="E188">
        <f t="shared" si="3"/>
        <v>0.88283333333333336</v>
      </c>
    </row>
    <row r="189" spans="1:5" x14ac:dyDescent="0.3">
      <c r="A189" t="s">
        <v>6</v>
      </c>
      <c r="B189" t="s">
        <v>19</v>
      </c>
      <c r="C189" t="s">
        <v>39</v>
      </c>
      <c r="D189">
        <v>52.97</v>
      </c>
      <c r="E189">
        <f t="shared" si="3"/>
        <v>0.88283333333333336</v>
      </c>
    </row>
    <row r="190" spans="1:5" x14ac:dyDescent="0.3">
      <c r="A190" t="s">
        <v>6</v>
      </c>
      <c r="B190" t="s">
        <v>20</v>
      </c>
      <c r="C190" t="s">
        <v>39</v>
      </c>
      <c r="D190">
        <v>52.97</v>
      </c>
      <c r="E190">
        <f t="shared" si="3"/>
        <v>0.88283333333333336</v>
      </c>
    </row>
    <row r="191" spans="1:5" x14ac:dyDescent="0.3">
      <c r="A191" t="s">
        <v>6</v>
      </c>
      <c r="B191" t="s">
        <v>21</v>
      </c>
      <c r="C191" t="s">
        <v>39</v>
      </c>
      <c r="D191">
        <v>52.97</v>
      </c>
      <c r="E191">
        <f t="shared" si="3"/>
        <v>0.88283333333333336</v>
      </c>
    </row>
    <row r="192" spans="1:5" x14ac:dyDescent="0.3">
      <c r="A192" t="s">
        <v>6</v>
      </c>
      <c r="B192" t="s">
        <v>22</v>
      </c>
      <c r="C192" t="s">
        <v>39</v>
      </c>
      <c r="D192">
        <v>52.97</v>
      </c>
      <c r="E192">
        <f t="shared" si="3"/>
        <v>0.88283333333333336</v>
      </c>
    </row>
    <row r="193" spans="1:5" x14ac:dyDescent="0.3">
      <c r="A193" t="s">
        <v>6</v>
      </c>
      <c r="B193" t="s">
        <v>23</v>
      </c>
      <c r="C193" t="s">
        <v>39</v>
      </c>
      <c r="D193">
        <v>50.65</v>
      </c>
      <c r="E193">
        <f t="shared" si="3"/>
        <v>0.84416666666666662</v>
      </c>
    </row>
    <row r="194" spans="1:5" x14ac:dyDescent="0.3">
      <c r="A194" t="s">
        <v>6</v>
      </c>
      <c r="B194" t="s">
        <v>24</v>
      </c>
      <c r="C194" t="s">
        <v>39</v>
      </c>
      <c r="D194">
        <v>50.65</v>
      </c>
      <c r="E194">
        <f t="shared" si="3"/>
        <v>0.84416666666666662</v>
      </c>
    </row>
    <row r="195" spans="1:5" x14ac:dyDescent="0.3">
      <c r="A195" t="s">
        <v>6</v>
      </c>
      <c r="B195" t="s">
        <v>25</v>
      </c>
      <c r="C195" t="s">
        <v>39</v>
      </c>
      <c r="D195">
        <v>50.65</v>
      </c>
      <c r="E195">
        <f t="shared" si="3"/>
        <v>0.84416666666666662</v>
      </c>
    </row>
    <row r="196" spans="1:5" x14ac:dyDescent="0.3">
      <c r="A196" t="s">
        <v>6</v>
      </c>
      <c r="B196" t="s">
        <v>70</v>
      </c>
      <c r="C196" t="s">
        <v>39</v>
      </c>
      <c r="D196">
        <v>50.65</v>
      </c>
      <c r="E196">
        <f t="shared" si="3"/>
        <v>0.84416666666666662</v>
      </c>
    </row>
    <row r="197" spans="1:5" x14ac:dyDescent="0.3">
      <c r="A197" t="s">
        <v>6</v>
      </c>
      <c r="B197" t="s">
        <v>71</v>
      </c>
      <c r="C197" t="s">
        <v>39</v>
      </c>
      <c r="D197">
        <v>48.21</v>
      </c>
      <c r="E197">
        <f t="shared" si="3"/>
        <v>0.80349999999999999</v>
      </c>
    </row>
    <row r="198" spans="1:5" x14ac:dyDescent="0.3">
      <c r="A198" t="s">
        <v>6</v>
      </c>
      <c r="B198" t="s">
        <v>72</v>
      </c>
      <c r="C198" t="s">
        <v>39</v>
      </c>
      <c r="D198">
        <v>48.21</v>
      </c>
      <c r="E198">
        <f t="shared" si="3"/>
        <v>0.80349999999999999</v>
      </c>
    </row>
    <row r="199" spans="1:5" x14ac:dyDescent="0.3">
      <c r="A199" t="s">
        <v>6</v>
      </c>
      <c r="B199" t="s">
        <v>73</v>
      </c>
      <c r="C199" t="s">
        <v>39</v>
      </c>
      <c r="D199">
        <v>48.21</v>
      </c>
      <c r="E199">
        <f t="shared" si="3"/>
        <v>0.80349999999999999</v>
      </c>
    </row>
    <row r="200" spans="1:5" x14ac:dyDescent="0.3">
      <c r="A200" t="s">
        <v>6</v>
      </c>
      <c r="B200" t="s">
        <v>74</v>
      </c>
      <c r="C200" t="s">
        <v>39</v>
      </c>
      <c r="D200">
        <v>48.21</v>
      </c>
      <c r="E200">
        <f t="shared" si="3"/>
        <v>0.80349999999999999</v>
      </c>
    </row>
    <row r="201" spans="1:5" x14ac:dyDescent="0.3">
      <c r="A201" t="s">
        <v>6</v>
      </c>
      <c r="B201" t="s">
        <v>80</v>
      </c>
      <c r="C201" t="s">
        <v>40</v>
      </c>
      <c r="D201">
        <v>37.229999999999997</v>
      </c>
      <c r="E201">
        <f t="shared" ref="E201:E217" si="4">D201/60</f>
        <v>0.62049999999999994</v>
      </c>
    </row>
    <row r="202" spans="1:5" x14ac:dyDescent="0.3">
      <c r="A202" t="s">
        <v>6</v>
      </c>
      <c r="B202" t="s">
        <v>81</v>
      </c>
      <c r="C202" t="s">
        <v>40</v>
      </c>
      <c r="D202">
        <v>37.229999999999997</v>
      </c>
      <c r="E202">
        <f t="shared" si="4"/>
        <v>0.62049999999999994</v>
      </c>
    </row>
    <row r="203" spans="1:5" x14ac:dyDescent="0.3">
      <c r="A203" t="s">
        <v>6</v>
      </c>
      <c r="B203" t="s">
        <v>82</v>
      </c>
      <c r="C203" t="s">
        <v>40</v>
      </c>
      <c r="D203">
        <v>37.229999999999997</v>
      </c>
      <c r="E203">
        <f t="shared" si="4"/>
        <v>0.62049999999999994</v>
      </c>
    </row>
    <row r="204" spans="1:5" x14ac:dyDescent="0.3">
      <c r="A204" t="s">
        <v>6</v>
      </c>
      <c r="B204" t="s">
        <v>83</v>
      </c>
      <c r="C204" t="s">
        <v>40</v>
      </c>
      <c r="D204">
        <v>37.229999999999997</v>
      </c>
      <c r="E204">
        <f t="shared" si="4"/>
        <v>0.62049999999999994</v>
      </c>
    </row>
    <row r="205" spans="1:5" x14ac:dyDescent="0.3">
      <c r="A205" t="s">
        <v>6</v>
      </c>
      <c r="B205" t="s">
        <v>84</v>
      </c>
      <c r="C205" t="s">
        <v>40</v>
      </c>
      <c r="D205">
        <v>37.229999999999997</v>
      </c>
      <c r="E205">
        <f t="shared" si="4"/>
        <v>0.62049999999999994</v>
      </c>
    </row>
    <row r="206" spans="1:5" x14ac:dyDescent="0.3">
      <c r="A206" t="s">
        <v>6</v>
      </c>
      <c r="B206" t="s">
        <v>26</v>
      </c>
      <c r="C206" t="s">
        <v>40</v>
      </c>
      <c r="D206">
        <v>37.229999999999997</v>
      </c>
      <c r="E206">
        <f t="shared" si="4"/>
        <v>0.62049999999999994</v>
      </c>
    </row>
    <row r="207" spans="1:5" x14ac:dyDescent="0.3">
      <c r="A207" t="s">
        <v>6</v>
      </c>
      <c r="B207" t="s">
        <v>27</v>
      </c>
      <c r="C207" t="s">
        <v>40</v>
      </c>
      <c r="D207">
        <v>37.229999999999997</v>
      </c>
      <c r="E207">
        <f t="shared" si="4"/>
        <v>0.62049999999999994</v>
      </c>
    </row>
    <row r="208" spans="1:5" x14ac:dyDescent="0.3">
      <c r="A208" t="s">
        <v>6</v>
      </c>
      <c r="B208" t="s">
        <v>28</v>
      </c>
      <c r="C208" t="s">
        <v>40</v>
      </c>
      <c r="D208">
        <v>37.229999999999997</v>
      </c>
      <c r="E208">
        <f t="shared" si="4"/>
        <v>0.62049999999999994</v>
      </c>
    </row>
    <row r="209" spans="1:5" x14ac:dyDescent="0.3">
      <c r="A209" t="s">
        <v>6</v>
      </c>
      <c r="B209" t="s">
        <v>29</v>
      </c>
      <c r="C209" t="s">
        <v>40</v>
      </c>
      <c r="D209">
        <v>37.229999999999997</v>
      </c>
      <c r="E209">
        <f t="shared" si="4"/>
        <v>0.62049999999999994</v>
      </c>
    </row>
    <row r="210" spans="1:5" x14ac:dyDescent="0.3">
      <c r="A210" t="s">
        <v>6</v>
      </c>
      <c r="B210" t="s">
        <v>30</v>
      </c>
      <c r="C210" t="s">
        <v>41</v>
      </c>
      <c r="D210">
        <v>15.07</v>
      </c>
      <c r="E210">
        <f t="shared" si="4"/>
        <v>0.25116666666666665</v>
      </c>
    </row>
    <row r="211" spans="1:5" x14ac:dyDescent="0.3">
      <c r="A211" t="s">
        <v>6</v>
      </c>
      <c r="B211" t="s">
        <v>31</v>
      </c>
      <c r="C211" t="s">
        <v>41</v>
      </c>
      <c r="D211">
        <v>15.07</v>
      </c>
      <c r="E211">
        <f t="shared" si="4"/>
        <v>0.25116666666666665</v>
      </c>
    </row>
    <row r="212" spans="1:5" x14ac:dyDescent="0.3">
      <c r="A212" t="s">
        <v>6</v>
      </c>
      <c r="B212" t="s">
        <v>32</v>
      </c>
      <c r="C212" t="s">
        <v>41</v>
      </c>
      <c r="D212">
        <v>15.07</v>
      </c>
      <c r="E212">
        <f t="shared" si="4"/>
        <v>0.25116666666666665</v>
      </c>
    </row>
    <row r="213" spans="1:5" x14ac:dyDescent="0.3">
      <c r="A213" t="s">
        <v>6</v>
      </c>
      <c r="B213" t="s">
        <v>33</v>
      </c>
      <c r="C213" t="s">
        <v>41</v>
      </c>
      <c r="D213">
        <v>15.07</v>
      </c>
      <c r="E213">
        <f t="shared" si="4"/>
        <v>0.25116666666666665</v>
      </c>
    </row>
    <row r="214" spans="1:5" x14ac:dyDescent="0.3">
      <c r="A214" t="s">
        <v>6</v>
      </c>
      <c r="B214" t="s">
        <v>34</v>
      </c>
      <c r="C214" t="s">
        <v>41</v>
      </c>
      <c r="D214">
        <v>15.07</v>
      </c>
      <c r="E214">
        <f t="shared" si="4"/>
        <v>0.25116666666666665</v>
      </c>
    </row>
    <row r="215" spans="1:5" x14ac:dyDescent="0.3">
      <c r="A215" t="s">
        <v>6</v>
      </c>
      <c r="B215" t="s">
        <v>35</v>
      </c>
      <c r="C215" t="s">
        <v>41</v>
      </c>
      <c r="D215">
        <v>15.07</v>
      </c>
      <c r="E215">
        <f t="shared" si="4"/>
        <v>0.25116666666666665</v>
      </c>
    </row>
    <row r="216" spans="1:5" x14ac:dyDescent="0.3">
      <c r="A216" t="s">
        <v>6</v>
      </c>
      <c r="B216" t="s">
        <v>36</v>
      </c>
      <c r="C216" t="s">
        <v>41</v>
      </c>
      <c r="D216">
        <v>15.07</v>
      </c>
      <c r="E216">
        <f t="shared" si="4"/>
        <v>0.25116666666666665</v>
      </c>
    </row>
    <row r="217" spans="1:5" x14ac:dyDescent="0.3">
      <c r="A217" t="s">
        <v>6</v>
      </c>
      <c r="B217" t="s">
        <v>37</v>
      </c>
      <c r="C217" t="s">
        <v>41</v>
      </c>
      <c r="D217">
        <v>15.07</v>
      </c>
      <c r="E217">
        <f t="shared" si="4"/>
        <v>0.25116666666666665</v>
      </c>
    </row>
    <row r="218" spans="1:5" x14ac:dyDescent="0.3">
      <c r="A218" t="s">
        <v>7</v>
      </c>
      <c r="B218" t="s">
        <v>10</v>
      </c>
      <c r="C218" t="s">
        <v>38</v>
      </c>
      <c r="D218">
        <v>20.32</v>
      </c>
      <c r="E218">
        <f>D218/60</f>
        <v>0.33866666666666667</v>
      </c>
    </row>
    <row r="219" spans="1:5" x14ac:dyDescent="0.3">
      <c r="A219" t="s">
        <v>7</v>
      </c>
      <c r="B219" t="s">
        <v>13</v>
      </c>
      <c r="C219" t="s">
        <v>38</v>
      </c>
      <c r="D219">
        <v>20.32</v>
      </c>
      <c r="E219">
        <f t="shared" ref="E219:E253" si="5">D219/60</f>
        <v>0.33866666666666667</v>
      </c>
    </row>
    <row r="220" spans="1:5" x14ac:dyDescent="0.3">
      <c r="A220" t="s">
        <v>7</v>
      </c>
      <c r="B220" t="s">
        <v>14</v>
      </c>
      <c r="C220" t="s">
        <v>38</v>
      </c>
      <c r="D220">
        <v>20.32</v>
      </c>
      <c r="E220">
        <f t="shared" si="5"/>
        <v>0.33866666666666667</v>
      </c>
    </row>
    <row r="221" spans="1:5" x14ac:dyDescent="0.3">
      <c r="A221" t="s">
        <v>7</v>
      </c>
      <c r="B221" t="s">
        <v>15</v>
      </c>
      <c r="C221" t="s">
        <v>38</v>
      </c>
      <c r="D221">
        <v>20.32</v>
      </c>
      <c r="E221">
        <f t="shared" si="5"/>
        <v>0.33866666666666667</v>
      </c>
    </row>
    <row r="222" spans="1:5" x14ac:dyDescent="0.3">
      <c r="A222" t="s">
        <v>7</v>
      </c>
      <c r="B222" t="s">
        <v>16</v>
      </c>
      <c r="C222" t="s">
        <v>39</v>
      </c>
      <c r="D222">
        <v>54.22</v>
      </c>
      <c r="E222">
        <f t="shared" si="5"/>
        <v>0.90366666666666662</v>
      </c>
    </row>
    <row r="223" spans="1:5" x14ac:dyDescent="0.3">
      <c r="A223" t="s">
        <v>7</v>
      </c>
      <c r="B223" t="s">
        <v>17</v>
      </c>
      <c r="C223" t="s">
        <v>39</v>
      </c>
      <c r="D223">
        <v>54.22</v>
      </c>
      <c r="E223">
        <f t="shared" si="5"/>
        <v>0.90366666666666662</v>
      </c>
    </row>
    <row r="224" spans="1:5" x14ac:dyDescent="0.3">
      <c r="A224" t="s">
        <v>7</v>
      </c>
      <c r="B224" t="s">
        <v>18</v>
      </c>
      <c r="C224" t="s">
        <v>39</v>
      </c>
      <c r="D224">
        <v>54.22</v>
      </c>
      <c r="E224">
        <f t="shared" si="5"/>
        <v>0.90366666666666662</v>
      </c>
    </row>
    <row r="225" spans="1:5" x14ac:dyDescent="0.3">
      <c r="A225" t="s">
        <v>7</v>
      </c>
      <c r="B225" t="s">
        <v>19</v>
      </c>
      <c r="C225" t="s">
        <v>39</v>
      </c>
      <c r="D225">
        <v>54.22</v>
      </c>
      <c r="E225">
        <f t="shared" si="5"/>
        <v>0.90366666666666662</v>
      </c>
    </row>
    <row r="226" spans="1:5" x14ac:dyDescent="0.3">
      <c r="A226" t="s">
        <v>7</v>
      </c>
      <c r="B226" t="s">
        <v>20</v>
      </c>
      <c r="C226" t="s">
        <v>39</v>
      </c>
      <c r="D226">
        <v>54.22</v>
      </c>
      <c r="E226">
        <f t="shared" si="5"/>
        <v>0.90366666666666662</v>
      </c>
    </row>
    <row r="227" spans="1:5" x14ac:dyDescent="0.3">
      <c r="A227" t="s">
        <v>7</v>
      </c>
      <c r="B227" t="s">
        <v>21</v>
      </c>
      <c r="C227" t="s">
        <v>39</v>
      </c>
      <c r="D227">
        <v>54.22</v>
      </c>
      <c r="E227">
        <f t="shared" si="5"/>
        <v>0.90366666666666662</v>
      </c>
    </row>
    <row r="228" spans="1:5" x14ac:dyDescent="0.3">
      <c r="A228" t="s">
        <v>7</v>
      </c>
      <c r="B228" t="s">
        <v>22</v>
      </c>
      <c r="C228" t="s">
        <v>39</v>
      </c>
      <c r="D228">
        <v>54.22</v>
      </c>
      <c r="E228">
        <f t="shared" si="5"/>
        <v>0.90366666666666662</v>
      </c>
    </row>
    <row r="229" spans="1:5" x14ac:dyDescent="0.3">
      <c r="A229" t="s">
        <v>7</v>
      </c>
      <c r="B229" t="s">
        <v>23</v>
      </c>
      <c r="C229" t="s">
        <v>39</v>
      </c>
      <c r="D229">
        <v>51.84</v>
      </c>
      <c r="E229">
        <f t="shared" si="5"/>
        <v>0.8640000000000001</v>
      </c>
    </row>
    <row r="230" spans="1:5" x14ac:dyDescent="0.3">
      <c r="A230" t="s">
        <v>7</v>
      </c>
      <c r="B230" t="s">
        <v>24</v>
      </c>
      <c r="C230" t="s">
        <v>39</v>
      </c>
      <c r="D230">
        <v>51.84</v>
      </c>
      <c r="E230">
        <f t="shared" si="5"/>
        <v>0.8640000000000001</v>
      </c>
    </row>
    <row r="231" spans="1:5" x14ac:dyDescent="0.3">
      <c r="A231" t="s">
        <v>7</v>
      </c>
      <c r="B231" t="s">
        <v>25</v>
      </c>
      <c r="C231" t="s">
        <v>39</v>
      </c>
      <c r="D231">
        <v>51.84</v>
      </c>
      <c r="E231">
        <f t="shared" si="5"/>
        <v>0.8640000000000001</v>
      </c>
    </row>
    <row r="232" spans="1:5" x14ac:dyDescent="0.3">
      <c r="A232" t="s">
        <v>7</v>
      </c>
      <c r="B232" t="s">
        <v>70</v>
      </c>
      <c r="C232" t="s">
        <v>39</v>
      </c>
      <c r="D232">
        <v>51.84</v>
      </c>
      <c r="E232">
        <f t="shared" si="5"/>
        <v>0.8640000000000001</v>
      </c>
    </row>
    <row r="233" spans="1:5" x14ac:dyDescent="0.3">
      <c r="A233" t="s">
        <v>7</v>
      </c>
      <c r="B233" t="s">
        <v>71</v>
      </c>
      <c r="C233" t="s">
        <v>39</v>
      </c>
      <c r="D233">
        <v>49.35</v>
      </c>
      <c r="E233">
        <f t="shared" si="5"/>
        <v>0.82250000000000001</v>
      </c>
    </row>
    <row r="234" spans="1:5" x14ac:dyDescent="0.3">
      <c r="A234" t="s">
        <v>7</v>
      </c>
      <c r="B234" t="s">
        <v>72</v>
      </c>
      <c r="C234" t="s">
        <v>39</v>
      </c>
      <c r="D234">
        <v>49.35</v>
      </c>
      <c r="E234">
        <f t="shared" si="5"/>
        <v>0.82250000000000001</v>
      </c>
    </row>
    <row r="235" spans="1:5" x14ac:dyDescent="0.3">
      <c r="A235" t="s">
        <v>7</v>
      </c>
      <c r="B235" t="s">
        <v>73</v>
      </c>
      <c r="C235" t="s">
        <v>39</v>
      </c>
      <c r="D235">
        <v>49.35</v>
      </c>
      <c r="E235">
        <f t="shared" si="5"/>
        <v>0.82250000000000001</v>
      </c>
    </row>
    <row r="236" spans="1:5" x14ac:dyDescent="0.3">
      <c r="A236" t="s">
        <v>7</v>
      </c>
      <c r="B236" t="s">
        <v>74</v>
      </c>
      <c r="C236" t="s">
        <v>39</v>
      </c>
      <c r="D236">
        <v>49.35</v>
      </c>
      <c r="E236">
        <f t="shared" si="5"/>
        <v>0.82250000000000001</v>
      </c>
    </row>
    <row r="237" spans="1:5" x14ac:dyDescent="0.3">
      <c r="A237" t="s">
        <v>7</v>
      </c>
      <c r="B237" t="s">
        <v>80</v>
      </c>
      <c r="C237" t="s">
        <v>40</v>
      </c>
      <c r="D237">
        <v>39.42</v>
      </c>
      <c r="E237">
        <f t="shared" si="5"/>
        <v>0.65700000000000003</v>
      </c>
    </row>
    <row r="238" spans="1:5" x14ac:dyDescent="0.3">
      <c r="A238" t="s">
        <v>7</v>
      </c>
      <c r="B238" t="s">
        <v>81</v>
      </c>
      <c r="C238" t="s">
        <v>40</v>
      </c>
      <c r="D238">
        <v>39.42</v>
      </c>
      <c r="E238">
        <f t="shared" si="5"/>
        <v>0.65700000000000003</v>
      </c>
    </row>
    <row r="239" spans="1:5" x14ac:dyDescent="0.3">
      <c r="A239" t="s">
        <v>7</v>
      </c>
      <c r="B239" t="s">
        <v>82</v>
      </c>
      <c r="C239" t="s">
        <v>40</v>
      </c>
      <c r="D239">
        <v>39.42</v>
      </c>
      <c r="E239">
        <f t="shared" si="5"/>
        <v>0.65700000000000003</v>
      </c>
    </row>
    <row r="240" spans="1:5" x14ac:dyDescent="0.3">
      <c r="A240" t="s">
        <v>7</v>
      </c>
      <c r="B240" t="s">
        <v>83</v>
      </c>
      <c r="C240" t="s">
        <v>40</v>
      </c>
      <c r="D240">
        <v>39.42</v>
      </c>
      <c r="E240">
        <f t="shared" si="5"/>
        <v>0.65700000000000003</v>
      </c>
    </row>
    <row r="241" spans="1:5" x14ac:dyDescent="0.3">
      <c r="A241" t="s">
        <v>7</v>
      </c>
      <c r="B241" t="s">
        <v>84</v>
      </c>
      <c r="C241" t="s">
        <v>40</v>
      </c>
      <c r="D241">
        <v>39.42</v>
      </c>
      <c r="E241">
        <f t="shared" si="5"/>
        <v>0.65700000000000003</v>
      </c>
    </row>
    <row r="242" spans="1:5" x14ac:dyDescent="0.3">
      <c r="A242" t="s">
        <v>7</v>
      </c>
      <c r="B242" t="s">
        <v>26</v>
      </c>
      <c r="C242" t="s">
        <v>40</v>
      </c>
      <c r="D242">
        <v>39.42</v>
      </c>
      <c r="E242">
        <f t="shared" si="5"/>
        <v>0.65700000000000003</v>
      </c>
    </row>
    <row r="243" spans="1:5" x14ac:dyDescent="0.3">
      <c r="A243" t="s">
        <v>7</v>
      </c>
      <c r="B243" t="s">
        <v>27</v>
      </c>
      <c r="C243" t="s">
        <v>40</v>
      </c>
      <c r="D243">
        <v>39.42</v>
      </c>
      <c r="E243">
        <f t="shared" si="5"/>
        <v>0.65700000000000003</v>
      </c>
    </row>
    <row r="244" spans="1:5" x14ac:dyDescent="0.3">
      <c r="A244" t="s">
        <v>7</v>
      </c>
      <c r="B244" t="s">
        <v>28</v>
      </c>
      <c r="C244" t="s">
        <v>40</v>
      </c>
      <c r="D244">
        <v>39.42</v>
      </c>
      <c r="E244">
        <f t="shared" si="5"/>
        <v>0.65700000000000003</v>
      </c>
    </row>
    <row r="245" spans="1:5" x14ac:dyDescent="0.3">
      <c r="A245" t="s">
        <v>7</v>
      </c>
      <c r="B245" t="s">
        <v>29</v>
      </c>
      <c r="C245" t="s">
        <v>40</v>
      </c>
      <c r="D245">
        <v>39.42</v>
      </c>
      <c r="E245">
        <f t="shared" si="5"/>
        <v>0.65700000000000003</v>
      </c>
    </row>
    <row r="246" spans="1:5" x14ac:dyDescent="0.3">
      <c r="A246" t="s">
        <v>7</v>
      </c>
      <c r="B246" t="s">
        <v>30</v>
      </c>
      <c r="C246" t="s">
        <v>41</v>
      </c>
      <c r="D246">
        <v>15.17</v>
      </c>
      <c r="E246">
        <f t="shared" si="5"/>
        <v>0.25283333333333335</v>
      </c>
    </row>
    <row r="247" spans="1:5" x14ac:dyDescent="0.3">
      <c r="A247" t="s">
        <v>7</v>
      </c>
      <c r="B247" t="s">
        <v>31</v>
      </c>
      <c r="C247" t="s">
        <v>41</v>
      </c>
      <c r="D247">
        <v>15.17</v>
      </c>
      <c r="E247">
        <f t="shared" si="5"/>
        <v>0.25283333333333335</v>
      </c>
    </row>
    <row r="248" spans="1:5" x14ac:dyDescent="0.3">
      <c r="A248" t="s">
        <v>7</v>
      </c>
      <c r="B248" t="s">
        <v>32</v>
      </c>
      <c r="C248" t="s">
        <v>41</v>
      </c>
      <c r="D248">
        <v>15.17</v>
      </c>
      <c r="E248">
        <f t="shared" si="5"/>
        <v>0.25283333333333335</v>
      </c>
    </row>
    <row r="249" spans="1:5" x14ac:dyDescent="0.3">
      <c r="A249" t="s">
        <v>7</v>
      </c>
      <c r="B249" t="s">
        <v>33</v>
      </c>
      <c r="C249" t="s">
        <v>41</v>
      </c>
      <c r="D249">
        <v>15.17</v>
      </c>
      <c r="E249">
        <f t="shared" si="5"/>
        <v>0.25283333333333335</v>
      </c>
    </row>
    <row r="250" spans="1:5" x14ac:dyDescent="0.3">
      <c r="A250" t="s">
        <v>7</v>
      </c>
      <c r="B250" t="s">
        <v>34</v>
      </c>
      <c r="C250" t="s">
        <v>41</v>
      </c>
      <c r="D250">
        <v>15.17</v>
      </c>
      <c r="E250">
        <f t="shared" si="5"/>
        <v>0.25283333333333335</v>
      </c>
    </row>
    <row r="251" spans="1:5" x14ac:dyDescent="0.3">
      <c r="A251" t="s">
        <v>7</v>
      </c>
      <c r="B251" t="s">
        <v>35</v>
      </c>
      <c r="C251" t="s">
        <v>41</v>
      </c>
      <c r="D251">
        <v>15.17</v>
      </c>
      <c r="E251">
        <f t="shared" si="5"/>
        <v>0.25283333333333335</v>
      </c>
    </row>
    <row r="252" spans="1:5" x14ac:dyDescent="0.3">
      <c r="A252" t="s">
        <v>7</v>
      </c>
      <c r="B252" t="s">
        <v>36</v>
      </c>
      <c r="C252" t="s">
        <v>41</v>
      </c>
      <c r="D252">
        <v>15.17</v>
      </c>
      <c r="E252">
        <f t="shared" si="5"/>
        <v>0.25283333333333335</v>
      </c>
    </row>
    <row r="253" spans="1:5" x14ac:dyDescent="0.3">
      <c r="A253" t="s">
        <v>7</v>
      </c>
      <c r="B253" t="s">
        <v>37</v>
      </c>
      <c r="C253" t="s">
        <v>41</v>
      </c>
      <c r="D253">
        <v>15.17</v>
      </c>
      <c r="E253">
        <f t="shared" si="5"/>
        <v>0.25283333333333335</v>
      </c>
    </row>
  </sheetData>
  <autoFilter ref="A1:E253" xr:uid="{AB77A7E2-B97A-45EB-AD6E-1E7E808A494B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D2BF-A3EC-4417-8FAC-6FD906CB6E2D}">
  <dimension ref="A1:J168"/>
  <sheetViews>
    <sheetView workbookViewId="0">
      <selection activeCell="F14" sqref="F14"/>
    </sheetView>
  </sheetViews>
  <sheetFormatPr baseColWidth="10" defaultRowHeight="14.4" x14ac:dyDescent="0.3"/>
  <cols>
    <col min="2" max="2" width="10.109375" customWidth="1"/>
    <col min="4" max="4" width="12.21875" customWidth="1"/>
  </cols>
  <sheetData>
    <row r="1" spans="1:10" ht="43.2" x14ac:dyDescent="0.3">
      <c r="A1" s="7" t="s">
        <v>43</v>
      </c>
      <c r="B1" s="6" t="s">
        <v>44</v>
      </c>
      <c r="C1" s="6" t="s">
        <v>45</v>
      </c>
      <c r="D1" s="6" t="s">
        <v>76</v>
      </c>
      <c r="E1" s="6" t="s">
        <v>77</v>
      </c>
      <c r="F1" s="5"/>
      <c r="G1" s="8" t="s">
        <v>46</v>
      </c>
      <c r="H1" s="8" t="s">
        <v>47</v>
      </c>
      <c r="J1" s="10" t="s">
        <v>79</v>
      </c>
    </row>
    <row r="2" spans="1:10" x14ac:dyDescent="0.3">
      <c r="A2" s="4">
        <v>46146</v>
      </c>
      <c r="B2">
        <f>WEEKDAY(A2,2)</f>
        <v>1</v>
      </c>
      <c r="C2" cm="1">
        <f t="array" ref="C2">IF(COUNTIF($J$2:$J$9,A2)&gt;0,0,INDEX($H$2:$H$8,B2))</f>
        <v>7</v>
      </c>
      <c r="D2">
        <v>0</v>
      </c>
      <c r="E2">
        <f>C2+D2</f>
        <v>7</v>
      </c>
      <c r="G2" t="s">
        <v>48</v>
      </c>
      <c r="H2">
        <v>7</v>
      </c>
      <c r="J2" s="4">
        <v>46160</v>
      </c>
    </row>
    <row r="3" spans="1:10" x14ac:dyDescent="0.3">
      <c r="A3" s="4">
        <v>46147</v>
      </c>
      <c r="B3">
        <f t="shared" ref="B3:B66" si="0">WEEKDAY(A3,2)</f>
        <v>2</v>
      </c>
      <c r="C3" cm="1">
        <f t="array" ref="C3">IF(COUNTIF($J$2:$J$9,A3)&gt;0,0,INDEX($H$2:$H$8,B3))</f>
        <v>8</v>
      </c>
      <c r="D3">
        <f>E2</f>
        <v>7</v>
      </c>
      <c r="E3">
        <f t="shared" ref="E3:E66" si="1">C3+D3</f>
        <v>15</v>
      </c>
      <c r="G3" t="s">
        <v>49</v>
      </c>
      <c r="H3">
        <v>8</v>
      </c>
      <c r="J3" s="4">
        <v>46181</v>
      </c>
    </row>
    <row r="4" spans="1:10" x14ac:dyDescent="0.3">
      <c r="A4" s="4">
        <v>46148</v>
      </c>
      <c r="B4">
        <f t="shared" si="0"/>
        <v>3</v>
      </c>
      <c r="C4" cm="1">
        <f t="array" ref="C4">IF(COUNTIF($J$2:$J$9,A4)&gt;0,0,INDEX($H$2:$H$8,B4))</f>
        <v>7</v>
      </c>
      <c r="D4">
        <f t="shared" ref="D4:D67" si="2">E3</f>
        <v>15</v>
      </c>
      <c r="E4">
        <f>C4+D4</f>
        <v>22</v>
      </c>
      <c r="G4" t="s">
        <v>50</v>
      </c>
      <c r="H4">
        <v>7</v>
      </c>
      <c r="J4" s="4">
        <v>46188</v>
      </c>
    </row>
    <row r="5" spans="1:10" x14ac:dyDescent="0.3">
      <c r="A5" s="4">
        <v>46149</v>
      </c>
      <c r="B5">
        <f t="shared" si="0"/>
        <v>4</v>
      </c>
      <c r="C5" cm="1">
        <f t="array" ref="C5">IF(COUNTIF($J$2:$J$9,A5)&gt;0,0,INDEX($H$2:$H$8,B5))</f>
        <v>8</v>
      </c>
      <c r="D5">
        <f t="shared" si="2"/>
        <v>22</v>
      </c>
      <c r="E5">
        <f t="shared" si="1"/>
        <v>30</v>
      </c>
      <c r="G5" t="s">
        <v>51</v>
      </c>
      <c r="H5">
        <v>8</v>
      </c>
      <c r="J5" s="4">
        <v>46202</v>
      </c>
    </row>
    <row r="6" spans="1:10" x14ac:dyDescent="0.3">
      <c r="A6" s="4">
        <v>46150</v>
      </c>
      <c r="B6">
        <f t="shared" si="0"/>
        <v>5</v>
      </c>
      <c r="C6" cm="1">
        <f t="array" ref="C6">IF(COUNTIF($J$2:$J$9,A6)&gt;0,0,INDEX($H$2:$H$8,B6))</f>
        <v>8</v>
      </c>
      <c r="D6">
        <f t="shared" si="2"/>
        <v>30</v>
      </c>
      <c r="E6">
        <f t="shared" si="1"/>
        <v>38</v>
      </c>
      <c r="G6" t="s">
        <v>52</v>
      </c>
      <c r="H6">
        <v>8</v>
      </c>
      <c r="J6" s="4">
        <v>46216</v>
      </c>
    </row>
    <row r="7" spans="1:10" x14ac:dyDescent="0.3">
      <c r="A7" s="4">
        <v>46151</v>
      </c>
      <c r="B7">
        <f t="shared" si="0"/>
        <v>6</v>
      </c>
      <c r="C7" cm="1">
        <f t="array" ref="C7">IF(COUNTIF($J$2:$J$9,A7)&gt;0,0,INDEX($H$2:$H$8,B7))</f>
        <v>4</v>
      </c>
      <c r="D7">
        <f t="shared" si="2"/>
        <v>38</v>
      </c>
      <c r="E7">
        <f t="shared" si="1"/>
        <v>42</v>
      </c>
      <c r="G7" t="s">
        <v>53</v>
      </c>
      <c r="H7">
        <v>4</v>
      </c>
      <c r="J7" s="4">
        <v>46223</v>
      </c>
    </row>
    <row r="8" spans="1:10" x14ac:dyDescent="0.3">
      <c r="A8" s="4">
        <v>46152</v>
      </c>
      <c r="B8">
        <f t="shared" si="0"/>
        <v>7</v>
      </c>
      <c r="C8" cm="1">
        <f t="array" ref="C8">IF(COUNTIF($J$2:$J$9,A8)&gt;0,0,INDEX($H$2:$H$8,B8))</f>
        <v>0</v>
      </c>
      <c r="D8">
        <f t="shared" si="2"/>
        <v>42</v>
      </c>
      <c r="E8">
        <f t="shared" si="1"/>
        <v>42</v>
      </c>
      <c r="G8" t="s">
        <v>54</v>
      </c>
      <c r="H8">
        <v>0</v>
      </c>
      <c r="J8" s="4">
        <v>46241</v>
      </c>
    </row>
    <row r="9" spans="1:10" x14ac:dyDescent="0.3">
      <c r="A9" s="4">
        <v>46153</v>
      </c>
      <c r="B9">
        <f t="shared" si="0"/>
        <v>1</v>
      </c>
      <c r="C9" cm="1">
        <f t="array" ref="C9">IF(COUNTIF($J$2:$J$9,A9)&gt;0,0,INDEX($H$2:$H$8,B9))</f>
        <v>7</v>
      </c>
      <c r="D9">
        <f t="shared" si="2"/>
        <v>42</v>
      </c>
      <c r="E9">
        <f t="shared" si="1"/>
        <v>49</v>
      </c>
      <c r="G9" s="1" t="s">
        <v>55</v>
      </c>
      <c r="H9" s="1">
        <f>SUM(H2:H8)</f>
        <v>42</v>
      </c>
      <c r="J9" s="4">
        <v>46251</v>
      </c>
    </row>
    <row r="10" spans="1:10" x14ac:dyDescent="0.3">
      <c r="A10" s="4">
        <v>46154</v>
      </c>
      <c r="B10">
        <f t="shared" si="0"/>
        <v>2</v>
      </c>
      <c r="C10" cm="1">
        <f t="array" ref="C10">IF(COUNTIF($J$2:$J$9,A10)&gt;0,0,INDEX($H$2:$H$8,B10))</f>
        <v>8</v>
      </c>
      <c r="D10">
        <f t="shared" si="2"/>
        <v>49</v>
      </c>
      <c r="E10">
        <f t="shared" si="1"/>
        <v>57</v>
      </c>
    </row>
    <row r="11" spans="1:10" x14ac:dyDescent="0.3">
      <c r="A11" s="4">
        <v>46155</v>
      </c>
      <c r="B11">
        <f t="shared" si="0"/>
        <v>3</v>
      </c>
      <c r="C11" cm="1">
        <f t="array" ref="C11">IF(COUNTIF($J$2:$J$9,A11)&gt;0,0,INDEX($H$2:$H$8,B11))</f>
        <v>7</v>
      </c>
      <c r="D11">
        <f t="shared" si="2"/>
        <v>57</v>
      </c>
      <c r="E11">
        <f t="shared" si="1"/>
        <v>64</v>
      </c>
    </row>
    <row r="12" spans="1:10" x14ac:dyDescent="0.3">
      <c r="A12" s="4">
        <v>46156</v>
      </c>
      <c r="B12">
        <f t="shared" si="0"/>
        <v>4</v>
      </c>
      <c r="C12" cm="1">
        <f t="array" ref="C12">IF(COUNTIF($J$2:$J$9,A12)&gt;0,0,INDEX($H$2:$H$8,B12))</f>
        <v>8</v>
      </c>
      <c r="D12">
        <f t="shared" si="2"/>
        <v>64</v>
      </c>
      <c r="E12">
        <f t="shared" si="1"/>
        <v>72</v>
      </c>
    </row>
    <row r="13" spans="1:10" x14ac:dyDescent="0.3">
      <c r="A13" s="4">
        <v>46157</v>
      </c>
      <c r="B13">
        <f t="shared" si="0"/>
        <v>5</v>
      </c>
      <c r="C13" cm="1">
        <f t="array" ref="C13">IF(COUNTIF($J$2:$J$9,A13)&gt;0,0,INDEX($H$2:$H$8,B13))</f>
        <v>8</v>
      </c>
      <c r="D13">
        <f t="shared" si="2"/>
        <v>72</v>
      </c>
      <c r="E13">
        <f t="shared" si="1"/>
        <v>80</v>
      </c>
      <c r="G13" s="4"/>
    </row>
    <row r="14" spans="1:10" x14ac:dyDescent="0.3">
      <c r="A14" s="4">
        <v>46158</v>
      </c>
      <c r="B14">
        <f t="shared" si="0"/>
        <v>6</v>
      </c>
      <c r="C14" cm="1">
        <f t="array" ref="C14">IF(COUNTIF($J$2:$J$9,A14)&gt;0,0,INDEX($H$2:$H$8,B14))</f>
        <v>4</v>
      </c>
      <c r="D14">
        <f t="shared" si="2"/>
        <v>80</v>
      </c>
      <c r="E14">
        <f t="shared" si="1"/>
        <v>84</v>
      </c>
      <c r="G14" s="4"/>
    </row>
    <row r="15" spans="1:10" x14ac:dyDescent="0.3">
      <c r="A15" s="4">
        <v>46159</v>
      </c>
      <c r="B15">
        <f t="shared" si="0"/>
        <v>7</v>
      </c>
      <c r="C15" cm="1">
        <f t="array" ref="C15">IF(COUNTIF($J$2:$J$9,A15)&gt;0,0,INDEX($H$2:$H$8,B15))</f>
        <v>0</v>
      </c>
      <c r="D15">
        <f t="shared" si="2"/>
        <v>84</v>
      </c>
      <c r="E15">
        <f t="shared" si="1"/>
        <v>84</v>
      </c>
      <c r="G15" s="4"/>
    </row>
    <row r="16" spans="1:10" x14ac:dyDescent="0.3">
      <c r="A16" s="4">
        <v>46160</v>
      </c>
      <c r="B16">
        <f t="shared" si="0"/>
        <v>1</v>
      </c>
      <c r="C16" cm="1">
        <f t="array" ref="C16">IF(COUNTIF($J$2:$J$9,A16)&gt;0,0,INDEX($H$2:$H$8,B16))</f>
        <v>0</v>
      </c>
      <c r="D16">
        <f t="shared" si="2"/>
        <v>84</v>
      </c>
      <c r="E16">
        <f t="shared" si="1"/>
        <v>84</v>
      </c>
      <c r="G16" s="4"/>
    </row>
    <row r="17" spans="1:7" x14ac:dyDescent="0.3">
      <c r="A17" s="4">
        <v>46161</v>
      </c>
      <c r="B17">
        <f t="shared" si="0"/>
        <v>2</v>
      </c>
      <c r="C17" cm="1">
        <f t="array" ref="C17">IF(COUNTIF($J$2:$J$9,A17)&gt;0,0,INDEX($H$2:$H$8,B17))</f>
        <v>8</v>
      </c>
      <c r="D17">
        <f t="shared" si="2"/>
        <v>84</v>
      </c>
      <c r="E17">
        <f t="shared" si="1"/>
        <v>92</v>
      </c>
      <c r="G17" s="4"/>
    </row>
    <row r="18" spans="1:7" x14ac:dyDescent="0.3">
      <c r="A18" s="4">
        <v>46162</v>
      </c>
      <c r="B18">
        <f t="shared" si="0"/>
        <v>3</v>
      </c>
      <c r="C18" cm="1">
        <f t="array" ref="C18">IF(COUNTIF($J$2:$J$9,A18)&gt;0,0,INDEX($H$2:$H$8,B18))</f>
        <v>7</v>
      </c>
      <c r="D18">
        <f t="shared" si="2"/>
        <v>92</v>
      </c>
      <c r="E18">
        <f t="shared" si="1"/>
        <v>99</v>
      </c>
      <c r="G18" s="4"/>
    </row>
    <row r="19" spans="1:7" x14ac:dyDescent="0.3">
      <c r="A19" s="4">
        <v>46163</v>
      </c>
      <c r="B19">
        <f t="shared" si="0"/>
        <v>4</v>
      </c>
      <c r="C19" cm="1">
        <f t="array" ref="C19">IF(COUNTIF($J$2:$J$9,A19)&gt;0,0,INDEX($H$2:$H$8,B19))</f>
        <v>8</v>
      </c>
      <c r="D19">
        <f t="shared" si="2"/>
        <v>99</v>
      </c>
      <c r="E19">
        <f t="shared" si="1"/>
        <v>107</v>
      </c>
      <c r="G19" s="4"/>
    </row>
    <row r="20" spans="1:7" x14ac:dyDescent="0.3">
      <c r="A20" s="4">
        <v>46164</v>
      </c>
      <c r="B20">
        <f t="shared" si="0"/>
        <v>5</v>
      </c>
      <c r="C20" cm="1">
        <f t="array" ref="C20">IF(COUNTIF($J$2:$J$9,A20)&gt;0,0,INDEX($H$2:$H$8,B20))</f>
        <v>8</v>
      </c>
      <c r="D20">
        <f t="shared" si="2"/>
        <v>107</v>
      </c>
      <c r="E20">
        <f t="shared" si="1"/>
        <v>115</v>
      </c>
      <c r="G20" s="4"/>
    </row>
    <row r="21" spans="1:7" x14ac:dyDescent="0.3">
      <c r="A21" s="4">
        <v>46165</v>
      </c>
      <c r="B21">
        <f t="shared" si="0"/>
        <v>6</v>
      </c>
      <c r="C21" cm="1">
        <f t="array" ref="C21">IF(COUNTIF($J$2:$J$9,A21)&gt;0,0,INDEX($H$2:$H$8,B21))</f>
        <v>4</v>
      </c>
      <c r="D21">
        <f t="shared" si="2"/>
        <v>115</v>
      </c>
      <c r="E21">
        <f t="shared" si="1"/>
        <v>119</v>
      </c>
      <c r="G21" s="4"/>
    </row>
    <row r="22" spans="1:7" x14ac:dyDescent="0.3">
      <c r="A22" s="4">
        <v>46166</v>
      </c>
      <c r="B22">
        <f t="shared" si="0"/>
        <v>7</v>
      </c>
      <c r="C22" cm="1">
        <f t="array" ref="C22">IF(COUNTIF($J$2:$J$9,A22)&gt;0,0,INDEX($H$2:$H$8,B22))</f>
        <v>0</v>
      </c>
      <c r="D22">
        <f t="shared" si="2"/>
        <v>119</v>
      </c>
      <c r="E22">
        <f t="shared" si="1"/>
        <v>119</v>
      </c>
      <c r="G22" s="4"/>
    </row>
    <row r="23" spans="1:7" x14ac:dyDescent="0.3">
      <c r="A23" s="4">
        <v>46167</v>
      </c>
      <c r="B23">
        <f t="shared" si="0"/>
        <v>1</v>
      </c>
      <c r="C23" cm="1">
        <f t="array" ref="C23">IF(COUNTIF($J$2:$J$9,A23)&gt;0,0,INDEX($H$2:$H$8,B23))</f>
        <v>7</v>
      </c>
      <c r="D23">
        <f t="shared" si="2"/>
        <v>119</v>
      </c>
      <c r="E23">
        <f t="shared" si="1"/>
        <v>126</v>
      </c>
    </row>
    <row r="24" spans="1:7" x14ac:dyDescent="0.3">
      <c r="A24" s="4">
        <v>46168</v>
      </c>
      <c r="B24">
        <f t="shared" si="0"/>
        <v>2</v>
      </c>
      <c r="C24" cm="1">
        <f t="array" ref="C24">IF(COUNTIF($J$2:$J$9,A24)&gt;0,0,INDEX($H$2:$H$8,B24))</f>
        <v>8</v>
      </c>
      <c r="D24">
        <f t="shared" si="2"/>
        <v>126</v>
      </c>
      <c r="E24">
        <f t="shared" si="1"/>
        <v>134</v>
      </c>
    </row>
    <row r="25" spans="1:7" x14ac:dyDescent="0.3">
      <c r="A25" s="4">
        <v>46169</v>
      </c>
      <c r="B25">
        <f t="shared" si="0"/>
        <v>3</v>
      </c>
      <c r="C25" cm="1">
        <f t="array" ref="C25">IF(COUNTIF($J$2:$J$9,A25)&gt;0,0,INDEX($H$2:$H$8,B25))</f>
        <v>7</v>
      </c>
      <c r="D25">
        <f t="shared" si="2"/>
        <v>134</v>
      </c>
      <c r="E25">
        <f t="shared" si="1"/>
        <v>141</v>
      </c>
    </row>
    <row r="26" spans="1:7" x14ac:dyDescent="0.3">
      <c r="A26" s="4">
        <v>46170</v>
      </c>
      <c r="B26">
        <f t="shared" si="0"/>
        <v>4</v>
      </c>
      <c r="C26" cm="1">
        <f t="array" ref="C26">IF(COUNTIF($J$2:$J$9,A26)&gt;0,0,INDEX($H$2:$H$8,B26))</f>
        <v>8</v>
      </c>
      <c r="D26">
        <f t="shared" si="2"/>
        <v>141</v>
      </c>
      <c r="E26">
        <f t="shared" si="1"/>
        <v>149</v>
      </c>
    </row>
    <row r="27" spans="1:7" x14ac:dyDescent="0.3">
      <c r="A27" s="4">
        <v>46171</v>
      </c>
      <c r="B27">
        <f t="shared" si="0"/>
        <v>5</v>
      </c>
      <c r="C27" cm="1">
        <f t="array" ref="C27">IF(COUNTIF($J$2:$J$9,A27)&gt;0,0,INDEX($H$2:$H$8,B27))</f>
        <v>8</v>
      </c>
      <c r="D27">
        <f t="shared" si="2"/>
        <v>149</v>
      </c>
      <c r="E27">
        <f t="shared" si="1"/>
        <v>157</v>
      </c>
    </row>
    <row r="28" spans="1:7" x14ac:dyDescent="0.3">
      <c r="A28" s="4">
        <v>46172</v>
      </c>
      <c r="B28">
        <f t="shared" si="0"/>
        <v>6</v>
      </c>
      <c r="C28" cm="1">
        <f t="array" ref="C28">IF(COUNTIF($J$2:$J$9,A28)&gt;0,0,INDEX($H$2:$H$8,B28))</f>
        <v>4</v>
      </c>
      <c r="D28">
        <f t="shared" si="2"/>
        <v>157</v>
      </c>
      <c r="E28">
        <f t="shared" si="1"/>
        <v>161</v>
      </c>
    </row>
    <row r="29" spans="1:7" x14ac:dyDescent="0.3">
      <c r="A29" s="4">
        <v>46173</v>
      </c>
      <c r="B29">
        <f t="shared" si="0"/>
        <v>7</v>
      </c>
      <c r="C29" cm="1">
        <f t="array" ref="C29">IF(COUNTIF($J$2:$J$9,A29)&gt;0,0,INDEX($H$2:$H$8,B29))</f>
        <v>0</v>
      </c>
      <c r="D29">
        <f t="shared" si="2"/>
        <v>161</v>
      </c>
      <c r="E29">
        <f t="shared" si="1"/>
        <v>161</v>
      </c>
    </row>
    <row r="30" spans="1:7" x14ac:dyDescent="0.3">
      <c r="A30" s="4">
        <v>46174</v>
      </c>
      <c r="B30">
        <f t="shared" si="0"/>
        <v>1</v>
      </c>
      <c r="C30" cm="1">
        <f t="array" ref="C30">IF(COUNTIF($J$2:$J$9,A30)&gt;0,0,INDEX($H$2:$H$8,B30))</f>
        <v>7</v>
      </c>
      <c r="D30">
        <f t="shared" si="2"/>
        <v>161</v>
      </c>
      <c r="E30">
        <f t="shared" si="1"/>
        <v>168</v>
      </c>
    </row>
    <row r="31" spans="1:7" x14ac:dyDescent="0.3">
      <c r="A31" s="4">
        <v>46175</v>
      </c>
      <c r="B31">
        <f t="shared" si="0"/>
        <v>2</v>
      </c>
      <c r="C31" cm="1">
        <f t="array" ref="C31">IF(COUNTIF($J$2:$J$9,A31)&gt;0,0,INDEX($H$2:$H$8,B31))</f>
        <v>8</v>
      </c>
      <c r="D31">
        <f t="shared" si="2"/>
        <v>168</v>
      </c>
      <c r="E31">
        <f t="shared" si="1"/>
        <v>176</v>
      </c>
    </row>
    <row r="32" spans="1:7" x14ac:dyDescent="0.3">
      <c r="A32" s="4">
        <v>46176</v>
      </c>
      <c r="B32">
        <f t="shared" si="0"/>
        <v>3</v>
      </c>
      <c r="C32" cm="1">
        <f t="array" ref="C32">IF(COUNTIF($J$2:$J$9,A32)&gt;0,0,INDEX($H$2:$H$8,B32))</f>
        <v>7</v>
      </c>
      <c r="D32">
        <f t="shared" si="2"/>
        <v>176</v>
      </c>
      <c r="E32">
        <f t="shared" si="1"/>
        <v>183</v>
      </c>
    </row>
    <row r="33" spans="1:5" x14ac:dyDescent="0.3">
      <c r="A33" s="4">
        <v>46177</v>
      </c>
      <c r="B33">
        <f t="shared" si="0"/>
        <v>4</v>
      </c>
      <c r="C33" cm="1">
        <f t="array" ref="C33">IF(COUNTIF($J$2:$J$9,A33)&gt;0,0,INDEX($H$2:$H$8,B33))</f>
        <v>8</v>
      </c>
      <c r="D33">
        <f t="shared" si="2"/>
        <v>183</v>
      </c>
      <c r="E33">
        <f t="shared" si="1"/>
        <v>191</v>
      </c>
    </row>
    <row r="34" spans="1:5" x14ac:dyDescent="0.3">
      <c r="A34" s="4">
        <v>46178</v>
      </c>
      <c r="B34">
        <f t="shared" si="0"/>
        <v>5</v>
      </c>
      <c r="C34" cm="1">
        <f t="array" ref="C34">IF(COUNTIF($J$2:$J$9,A34)&gt;0,0,INDEX($H$2:$H$8,B34))</f>
        <v>8</v>
      </c>
      <c r="D34">
        <f t="shared" si="2"/>
        <v>191</v>
      </c>
      <c r="E34">
        <f t="shared" si="1"/>
        <v>199</v>
      </c>
    </row>
    <row r="35" spans="1:5" x14ac:dyDescent="0.3">
      <c r="A35" s="4">
        <v>46179</v>
      </c>
      <c r="B35">
        <f t="shared" si="0"/>
        <v>6</v>
      </c>
      <c r="C35" cm="1">
        <f t="array" ref="C35">IF(COUNTIF($J$2:$J$9,A35)&gt;0,0,INDEX($H$2:$H$8,B35))</f>
        <v>4</v>
      </c>
      <c r="D35">
        <f t="shared" si="2"/>
        <v>199</v>
      </c>
      <c r="E35">
        <f t="shared" si="1"/>
        <v>203</v>
      </c>
    </row>
    <row r="36" spans="1:5" x14ac:dyDescent="0.3">
      <c r="A36" s="4">
        <v>46180</v>
      </c>
      <c r="B36">
        <f t="shared" si="0"/>
        <v>7</v>
      </c>
      <c r="C36" cm="1">
        <f t="array" ref="C36">IF(COUNTIF($J$2:$J$9,A36)&gt;0,0,INDEX($H$2:$H$8,B36))</f>
        <v>0</v>
      </c>
      <c r="D36">
        <f t="shared" si="2"/>
        <v>203</v>
      </c>
      <c r="E36">
        <f t="shared" si="1"/>
        <v>203</v>
      </c>
    </row>
    <row r="37" spans="1:5" x14ac:dyDescent="0.3">
      <c r="A37" s="4">
        <v>46181</v>
      </c>
      <c r="B37">
        <f t="shared" si="0"/>
        <v>1</v>
      </c>
      <c r="C37" cm="1">
        <f t="array" ref="C37">IF(COUNTIF($J$2:$J$9,A37)&gt;0,0,INDEX($H$2:$H$8,B37))</f>
        <v>0</v>
      </c>
      <c r="D37">
        <f t="shared" si="2"/>
        <v>203</v>
      </c>
      <c r="E37">
        <f t="shared" si="1"/>
        <v>203</v>
      </c>
    </row>
    <row r="38" spans="1:5" x14ac:dyDescent="0.3">
      <c r="A38" s="4">
        <v>46182</v>
      </c>
      <c r="B38">
        <f t="shared" si="0"/>
        <v>2</v>
      </c>
      <c r="C38" cm="1">
        <f t="array" ref="C38">IF(COUNTIF($J$2:$J$9,A38)&gt;0,0,INDEX($H$2:$H$8,B38))</f>
        <v>8</v>
      </c>
      <c r="D38">
        <f t="shared" si="2"/>
        <v>203</v>
      </c>
      <c r="E38">
        <f t="shared" si="1"/>
        <v>211</v>
      </c>
    </row>
    <row r="39" spans="1:5" x14ac:dyDescent="0.3">
      <c r="A39" s="4">
        <v>46183</v>
      </c>
      <c r="B39">
        <f t="shared" si="0"/>
        <v>3</v>
      </c>
      <c r="C39" cm="1">
        <f t="array" ref="C39">IF(COUNTIF($J$2:$J$9,A39)&gt;0,0,INDEX($H$2:$H$8,B39))</f>
        <v>7</v>
      </c>
      <c r="D39">
        <f t="shared" si="2"/>
        <v>211</v>
      </c>
      <c r="E39">
        <f t="shared" si="1"/>
        <v>218</v>
      </c>
    </row>
    <row r="40" spans="1:5" x14ac:dyDescent="0.3">
      <c r="A40" s="4">
        <v>46184</v>
      </c>
      <c r="B40">
        <f t="shared" si="0"/>
        <v>4</v>
      </c>
      <c r="C40" cm="1">
        <f t="array" ref="C40">IF(COUNTIF($J$2:$J$9,A40)&gt;0,0,INDEX($H$2:$H$8,B40))</f>
        <v>8</v>
      </c>
      <c r="D40">
        <f t="shared" si="2"/>
        <v>218</v>
      </c>
      <c r="E40">
        <f t="shared" si="1"/>
        <v>226</v>
      </c>
    </row>
    <row r="41" spans="1:5" x14ac:dyDescent="0.3">
      <c r="A41" s="4">
        <v>46185</v>
      </c>
      <c r="B41">
        <f t="shared" si="0"/>
        <v>5</v>
      </c>
      <c r="C41" cm="1">
        <f t="array" ref="C41">IF(COUNTIF($J$2:$J$9,A41)&gt;0,0,INDEX($H$2:$H$8,B41))</f>
        <v>8</v>
      </c>
      <c r="D41">
        <f t="shared" si="2"/>
        <v>226</v>
      </c>
      <c r="E41">
        <f t="shared" si="1"/>
        <v>234</v>
      </c>
    </row>
    <row r="42" spans="1:5" x14ac:dyDescent="0.3">
      <c r="A42" s="4">
        <v>46186</v>
      </c>
      <c r="B42">
        <f t="shared" si="0"/>
        <v>6</v>
      </c>
      <c r="C42" cm="1">
        <f t="array" ref="C42">IF(COUNTIF($J$2:$J$9,A42)&gt;0,0,INDEX($H$2:$H$8,B42))</f>
        <v>4</v>
      </c>
      <c r="D42">
        <f t="shared" si="2"/>
        <v>234</v>
      </c>
      <c r="E42">
        <f t="shared" si="1"/>
        <v>238</v>
      </c>
    </row>
    <row r="43" spans="1:5" x14ac:dyDescent="0.3">
      <c r="A43" s="4">
        <v>46187</v>
      </c>
      <c r="B43">
        <f t="shared" si="0"/>
        <v>7</v>
      </c>
      <c r="C43" cm="1">
        <f t="array" ref="C43">IF(COUNTIF($J$2:$J$9,A43)&gt;0,0,INDEX($H$2:$H$8,B43))</f>
        <v>0</v>
      </c>
      <c r="D43">
        <f t="shared" si="2"/>
        <v>238</v>
      </c>
      <c r="E43">
        <f t="shared" si="1"/>
        <v>238</v>
      </c>
    </row>
    <row r="44" spans="1:5" x14ac:dyDescent="0.3">
      <c r="A44" s="4">
        <v>46188</v>
      </c>
      <c r="B44">
        <f t="shared" si="0"/>
        <v>1</v>
      </c>
      <c r="C44" cm="1">
        <f t="array" ref="C44">IF(COUNTIF($J$2:$J$9,A44)&gt;0,0,INDEX($H$2:$H$8,B44))</f>
        <v>0</v>
      </c>
      <c r="D44">
        <f t="shared" si="2"/>
        <v>238</v>
      </c>
      <c r="E44">
        <f t="shared" si="1"/>
        <v>238</v>
      </c>
    </row>
    <row r="45" spans="1:5" x14ac:dyDescent="0.3">
      <c r="A45" s="4">
        <v>46189</v>
      </c>
      <c r="B45">
        <f t="shared" si="0"/>
        <v>2</v>
      </c>
      <c r="C45" cm="1">
        <f t="array" ref="C45">IF(COUNTIF($J$2:$J$9,A45)&gt;0,0,INDEX($H$2:$H$8,B45))</f>
        <v>8</v>
      </c>
      <c r="D45">
        <f t="shared" si="2"/>
        <v>238</v>
      </c>
      <c r="E45">
        <f t="shared" si="1"/>
        <v>246</v>
      </c>
    </row>
    <row r="46" spans="1:5" x14ac:dyDescent="0.3">
      <c r="A46" s="4">
        <v>46190</v>
      </c>
      <c r="B46">
        <f t="shared" si="0"/>
        <v>3</v>
      </c>
      <c r="C46" cm="1">
        <f t="array" ref="C46">IF(COUNTIF($J$2:$J$9,A46)&gt;0,0,INDEX($H$2:$H$8,B46))</f>
        <v>7</v>
      </c>
      <c r="D46">
        <f t="shared" si="2"/>
        <v>246</v>
      </c>
      <c r="E46">
        <f t="shared" si="1"/>
        <v>253</v>
      </c>
    </row>
    <row r="47" spans="1:5" x14ac:dyDescent="0.3">
      <c r="A47" s="4">
        <v>46191</v>
      </c>
      <c r="B47">
        <f t="shared" si="0"/>
        <v>4</v>
      </c>
      <c r="C47" cm="1">
        <f t="array" ref="C47">IF(COUNTIF($J$2:$J$9,A47)&gt;0,0,INDEX($H$2:$H$8,B47))</f>
        <v>8</v>
      </c>
      <c r="D47">
        <f t="shared" si="2"/>
        <v>253</v>
      </c>
      <c r="E47">
        <f t="shared" si="1"/>
        <v>261</v>
      </c>
    </row>
    <row r="48" spans="1:5" x14ac:dyDescent="0.3">
      <c r="A48" s="4">
        <v>46192</v>
      </c>
      <c r="B48">
        <f t="shared" si="0"/>
        <v>5</v>
      </c>
      <c r="C48" cm="1">
        <f t="array" ref="C48">IF(COUNTIF($J$2:$J$9,A48)&gt;0,0,INDEX($H$2:$H$8,B48))</f>
        <v>8</v>
      </c>
      <c r="D48">
        <f t="shared" si="2"/>
        <v>261</v>
      </c>
      <c r="E48">
        <f t="shared" si="1"/>
        <v>269</v>
      </c>
    </row>
    <row r="49" spans="1:5" x14ac:dyDescent="0.3">
      <c r="A49" s="4">
        <v>46193</v>
      </c>
      <c r="B49">
        <f t="shared" si="0"/>
        <v>6</v>
      </c>
      <c r="C49" cm="1">
        <f t="array" ref="C49">IF(COUNTIF($J$2:$J$9,A49)&gt;0,0,INDEX($H$2:$H$8,B49))</f>
        <v>4</v>
      </c>
      <c r="D49">
        <f t="shared" si="2"/>
        <v>269</v>
      </c>
      <c r="E49">
        <f t="shared" si="1"/>
        <v>273</v>
      </c>
    </row>
    <row r="50" spans="1:5" x14ac:dyDescent="0.3">
      <c r="A50" s="4">
        <v>46194</v>
      </c>
      <c r="B50">
        <f t="shared" si="0"/>
        <v>7</v>
      </c>
      <c r="C50" cm="1">
        <f t="array" ref="C50">IF(COUNTIF($J$2:$J$9,A50)&gt;0,0,INDEX($H$2:$H$8,B50))</f>
        <v>0</v>
      </c>
      <c r="D50">
        <f t="shared" si="2"/>
        <v>273</v>
      </c>
      <c r="E50">
        <f t="shared" si="1"/>
        <v>273</v>
      </c>
    </row>
    <row r="51" spans="1:5" x14ac:dyDescent="0.3">
      <c r="A51" s="4">
        <v>46195</v>
      </c>
      <c r="B51">
        <f t="shared" si="0"/>
        <v>1</v>
      </c>
      <c r="C51" cm="1">
        <f t="array" ref="C51">IF(COUNTIF($J$2:$J$9,A51)&gt;0,0,INDEX($H$2:$H$8,B51))</f>
        <v>7</v>
      </c>
      <c r="D51">
        <f t="shared" si="2"/>
        <v>273</v>
      </c>
      <c r="E51">
        <f t="shared" si="1"/>
        <v>280</v>
      </c>
    </row>
    <row r="52" spans="1:5" x14ac:dyDescent="0.3">
      <c r="A52" s="4">
        <v>46196</v>
      </c>
      <c r="B52">
        <f t="shared" si="0"/>
        <v>2</v>
      </c>
      <c r="C52" cm="1">
        <f t="array" ref="C52">IF(COUNTIF($J$2:$J$9,A52)&gt;0,0,INDEX($H$2:$H$8,B52))</f>
        <v>8</v>
      </c>
      <c r="D52">
        <f t="shared" si="2"/>
        <v>280</v>
      </c>
      <c r="E52">
        <f t="shared" si="1"/>
        <v>288</v>
      </c>
    </row>
    <row r="53" spans="1:5" x14ac:dyDescent="0.3">
      <c r="A53" s="4">
        <v>46197</v>
      </c>
      <c r="B53">
        <f t="shared" si="0"/>
        <v>3</v>
      </c>
      <c r="C53" cm="1">
        <f t="array" ref="C53">IF(COUNTIF($J$2:$J$9,A53)&gt;0,0,INDEX($H$2:$H$8,B53))</f>
        <v>7</v>
      </c>
      <c r="D53">
        <f t="shared" si="2"/>
        <v>288</v>
      </c>
      <c r="E53">
        <f t="shared" si="1"/>
        <v>295</v>
      </c>
    </row>
    <row r="54" spans="1:5" x14ac:dyDescent="0.3">
      <c r="A54" s="4">
        <v>46198</v>
      </c>
      <c r="B54">
        <f t="shared" si="0"/>
        <v>4</v>
      </c>
      <c r="C54" cm="1">
        <f t="array" ref="C54">IF(COUNTIF($J$2:$J$9,A54)&gt;0,0,INDEX($H$2:$H$8,B54))</f>
        <v>8</v>
      </c>
      <c r="D54">
        <f t="shared" si="2"/>
        <v>295</v>
      </c>
      <c r="E54">
        <f t="shared" si="1"/>
        <v>303</v>
      </c>
    </row>
    <row r="55" spans="1:5" x14ac:dyDescent="0.3">
      <c r="A55" s="4">
        <v>46199</v>
      </c>
      <c r="B55">
        <f t="shared" si="0"/>
        <v>5</v>
      </c>
      <c r="C55" cm="1">
        <f t="array" ref="C55">IF(COUNTIF($J$2:$J$9,A55)&gt;0,0,INDEX($H$2:$H$8,B55))</f>
        <v>8</v>
      </c>
      <c r="D55">
        <f t="shared" si="2"/>
        <v>303</v>
      </c>
      <c r="E55">
        <f t="shared" si="1"/>
        <v>311</v>
      </c>
    </row>
    <row r="56" spans="1:5" x14ac:dyDescent="0.3">
      <c r="A56" s="4">
        <v>46200</v>
      </c>
      <c r="B56">
        <f t="shared" si="0"/>
        <v>6</v>
      </c>
      <c r="C56" cm="1">
        <f t="array" ref="C56">IF(COUNTIF($J$2:$J$9,A56)&gt;0,0,INDEX($H$2:$H$8,B56))</f>
        <v>4</v>
      </c>
      <c r="D56">
        <f t="shared" si="2"/>
        <v>311</v>
      </c>
      <c r="E56">
        <f t="shared" si="1"/>
        <v>315</v>
      </c>
    </row>
    <row r="57" spans="1:5" x14ac:dyDescent="0.3">
      <c r="A57" s="4">
        <v>46201</v>
      </c>
      <c r="B57">
        <f t="shared" si="0"/>
        <v>7</v>
      </c>
      <c r="C57" cm="1">
        <f t="array" ref="C57">IF(COUNTIF($J$2:$J$9,A57)&gt;0,0,INDEX($H$2:$H$8,B57))</f>
        <v>0</v>
      </c>
      <c r="D57">
        <f t="shared" si="2"/>
        <v>315</v>
      </c>
      <c r="E57">
        <f t="shared" si="1"/>
        <v>315</v>
      </c>
    </row>
    <row r="58" spans="1:5" x14ac:dyDescent="0.3">
      <c r="A58" s="4">
        <v>46202</v>
      </c>
      <c r="B58">
        <f t="shared" si="0"/>
        <v>1</v>
      </c>
      <c r="C58" cm="1">
        <f t="array" ref="C58">IF(COUNTIF($J$2:$J$9,A58)&gt;0,0,INDEX($H$2:$H$8,B58))</f>
        <v>0</v>
      </c>
      <c r="D58">
        <f t="shared" si="2"/>
        <v>315</v>
      </c>
      <c r="E58">
        <f t="shared" si="1"/>
        <v>315</v>
      </c>
    </row>
    <row r="59" spans="1:5" x14ac:dyDescent="0.3">
      <c r="A59" s="4">
        <v>46203</v>
      </c>
      <c r="B59">
        <f t="shared" si="0"/>
        <v>2</v>
      </c>
      <c r="C59" cm="1">
        <f t="array" ref="C59">IF(COUNTIF($J$2:$J$9,A59)&gt;0,0,INDEX($H$2:$H$8,B59))</f>
        <v>8</v>
      </c>
      <c r="D59">
        <f t="shared" si="2"/>
        <v>315</v>
      </c>
      <c r="E59">
        <f t="shared" si="1"/>
        <v>323</v>
      </c>
    </row>
    <row r="60" spans="1:5" x14ac:dyDescent="0.3">
      <c r="A60" s="4">
        <v>46204</v>
      </c>
      <c r="B60">
        <f t="shared" si="0"/>
        <v>3</v>
      </c>
      <c r="C60" cm="1">
        <f t="array" ref="C60">IF(COUNTIF($J$2:$J$9,A60)&gt;0,0,INDEX($H$2:$H$8,B60))</f>
        <v>7</v>
      </c>
      <c r="D60">
        <f t="shared" si="2"/>
        <v>323</v>
      </c>
      <c r="E60">
        <f t="shared" si="1"/>
        <v>330</v>
      </c>
    </row>
    <row r="61" spans="1:5" x14ac:dyDescent="0.3">
      <c r="A61" s="4">
        <v>46205</v>
      </c>
      <c r="B61">
        <f t="shared" si="0"/>
        <v>4</v>
      </c>
      <c r="C61" cm="1">
        <f t="array" ref="C61">IF(COUNTIF($J$2:$J$9,A61)&gt;0,0,INDEX($H$2:$H$8,B61))</f>
        <v>8</v>
      </c>
      <c r="D61">
        <f t="shared" si="2"/>
        <v>330</v>
      </c>
      <c r="E61">
        <f t="shared" si="1"/>
        <v>338</v>
      </c>
    </row>
    <row r="62" spans="1:5" x14ac:dyDescent="0.3">
      <c r="A62" s="4">
        <v>46206</v>
      </c>
      <c r="B62">
        <f t="shared" si="0"/>
        <v>5</v>
      </c>
      <c r="C62" cm="1">
        <f t="array" ref="C62">IF(COUNTIF($J$2:$J$9,A62)&gt;0,0,INDEX($H$2:$H$8,B62))</f>
        <v>8</v>
      </c>
      <c r="D62">
        <f t="shared" si="2"/>
        <v>338</v>
      </c>
      <c r="E62">
        <f t="shared" si="1"/>
        <v>346</v>
      </c>
    </row>
    <row r="63" spans="1:5" x14ac:dyDescent="0.3">
      <c r="A63" s="4">
        <v>46207</v>
      </c>
      <c r="B63">
        <f t="shared" si="0"/>
        <v>6</v>
      </c>
      <c r="C63" cm="1">
        <f t="array" ref="C63">IF(COUNTIF($J$2:$J$9,A63)&gt;0,0,INDEX($H$2:$H$8,B63))</f>
        <v>4</v>
      </c>
      <c r="D63">
        <f t="shared" si="2"/>
        <v>346</v>
      </c>
      <c r="E63">
        <f t="shared" si="1"/>
        <v>350</v>
      </c>
    </row>
    <row r="64" spans="1:5" x14ac:dyDescent="0.3">
      <c r="A64" s="4">
        <v>46208</v>
      </c>
      <c r="B64">
        <f t="shared" si="0"/>
        <v>7</v>
      </c>
      <c r="C64" cm="1">
        <f t="array" ref="C64">IF(COUNTIF($J$2:$J$9,A64)&gt;0,0,INDEX($H$2:$H$8,B64))</f>
        <v>0</v>
      </c>
      <c r="D64">
        <f t="shared" si="2"/>
        <v>350</v>
      </c>
      <c r="E64">
        <f t="shared" si="1"/>
        <v>350</v>
      </c>
    </row>
    <row r="65" spans="1:5" x14ac:dyDescent="0.3">
      <c r="A65" s="4">
        <v>46209</v>
      </c>
      <c r="B65">
        <f t="shared" si="0"/>
        <v>1</v>
      </c>
      <c r="C65" cm="1">
        <f t="array" ref="C65">IF(COUNTIF($J$2:$J$9,A65)&gt;0,0,INDEX($H$2:$H$8,B65))</f>
        <v>7</v>
      </c>
      <c r="D65">
        <f t="shared" si="2"/>
        <v>350</v>
      </c>
      <c r="E65">
        <f t="shared" si="1"/>
        <v>357</v>
      </c>
    </row>
    <row r="66" spans="1:5" x14ac:dyDescent="0.3">
      <c r="A66" s="4">
        <v>46210</v>
      </c>
      <c r="B66">
        <f t="shared" si="0"/>
        <v>2</v>
      </c>
      <c r="C66" cm="1">
        <f t="array" ref="C66">IF(COUNTIF($J$2:$J$9,A66)&gt;0,0,INDEX($H$2:$H$8,B66))</f>
        <v>8</v>
      </c>
      <c r="D66">
        <f t="shared" si="2"/>
        <v>357</v>
      </c>
      <c r="E66">
        <f t="shared" si="1"/>
        <v>365</v>
      </c>
    </row>
    <row r="67" spans="1:5" x14ac:dyDescent="0.3">
      <c r="A67" s="4">
        <v>46211</v>
      </c>
      <c r="B67">
        <f t="shared" ref="B67:B130" si="3">WEEKDAY(A67,2)</f>
        <v>3</v>
      </c>
      <c r="C67" cm="1">
        <f t="array" ref="C67">IF(COUNTIF($J$2:$J$9,A67)&gt;0,0,INDEX($H$2:$H$8,B67))</f>
        <v>7</v>
      </c>
      <c r="D67">
        <f t="shared" si="2"/>
        <v>365</v>
      </c>
      <c r="E67">
        <f t="shared" ref="E67:E130" si="4">C67+D67</f>
        <v>372</v>
      </c>
    </row>
    <row r="68" spans="1:5" x14ac:dyDescent="0.3">
      <c r="A68" s="4">
        <v>46212</v>
      </c>
      <c r="B68">
        <f t="shared" si="3"/>
        <v>4</v>
      </c>
      <c r="C68" cm="1">
        <f t="array" ref="C68">IF(COUNTIF($J$2:$J$9,A68)&gt;0,0,INDEX($H$2:$H$8,B68))</f>
        <v>8</v>
      </c>
      <c r="D68">
        <f t="shared" ref="D68:D131" si="5">E67</f>
        <v>372</v>
      </c>
      <c r="E68">
        <f t="shared" si="4"/>
        <v>380</v>
      </c>
    </row>
    <row r="69" spans="1:5" x14ac:dyDescent="0.3">
      <c r="A69" s="4">
        <v>46213</v>
      </c>
      <c r="B69">
        <f t="shared" si="3"/>
        <v>5</v>
      </c>
      <c r="C69" cm="1">
        <f t="array" ref="C69">IF(COUNTIF($J$2:$J$9,A69)&gt;0,0,INDEX($H$2:$H$8,B69))</f>
        <v>8</v>
      </c>
      <c r="D69">
        <f t="shared" si="5"/>
        <v>380</v>
      </c>
      <c r="E69">
        <f t="shared" si="4"/>
        <v>388</v>
      </c>
    </row>
    <row r="70" spans="1:5" x14ac:dyDescent="0.3">
      <c r="A70" s="4">
        <v>46214</v>
      </c>
      <c r="B70">
        <f t="shared" si="3"/>
        <v>6</v>
      </c>
      <c r="C70" cm="1">
        <f t="array" ref="C70">IF(COUNTIF($J$2:$J$9,A70)&gt;0,0,INDEX($H$2:$H$8,B70))</f>
        <v>4</v>
      </c>
      <c r="D70">
        <f t="shared" si="5"/>
        <v>388</v>
      </c>
      <c r="E70">
        <f t="shared" si="4"/>
        <v>392</v>
      </c>
    </row>
    <row r="71" spans="1:5" x14ac:dyDescent="0.3">
      <c r="A71" s="4">
        <v>46215</v>
      </c>
      <c r="B71">
        <f t="shared" si="3"/>
        <v>7</v>
      </c>
      <c r="C71" cm="1">
        <f t="array" ref="C71">IF(COUNTIF($J$2:$J$9,A71)&gt;0,0,INDEX($H$2:$H$8,B71))</f>
        <v>0</v>
      </c>
      <c r="D71">
        <f t="shared" si="5"/>
        <v>392</v>
      </c>
      <c r="E71">
        <f t="shared" si="4"/>
        <v>392</v>
      </c>
    </row>
    <row r="72" spans="1:5" x14ac:dyDescent="0.3">
      <c r="A72" s="4">
        <v>46216</v>
      </c>
      <c r="B72">
        <f t="shared" si="3"/>
        <v>1</v>
      </c>
      <c r="C72" cm="1">
        <f t="array" ref="C72">IF(COUNTIF($J$2:$J$9,A72)&gt;0,0,INDEX($H$2:$H$8,B72))</f>
        <v>0</v>
      </c>
      <c r="D72">
        <f t="shared" si="5"/>
        <v>392</v>
      </c>
      <c r="E72">
        <f t="shared" si="4"/>
        <v>392</v>
      </c>
    </row>
    <row r="73" spans="1:5" x14ac:dyDescent="0.3">
      <c r="A73" s="4">
        <v>46217</v>
      </c>
      <c r="B73">
        <f t="shared" si="3"/>
        <v>2</v>
      </c>
      <c r="C73" cm="1">
        <f t="array" ref="C73">IF(COUNTIF($J$2:$J$9,A73)&gt;0,0,INDEX($H$2:$H$8,B73))</f>
        <v>8</v>
      </c>
      <c r="D73">
        <f t="shared" si="5"/>
        <v>392</v>
      </c>
      <c r="E73">
        <f t="shared" si="4"/>
        <v>400</v>
      </c>
    </row>
    <row r="74" spans="1:5" x14ac:dyDescent="0.3">
      <c r="A74" s="4">
        <v>46218</v>
      </c>
      <c r="B74">
        <f t="shared" si="3"/>
        <v>3</v>
      </c>
      <c r="C74" cm="1">
        <f t="array" ref="C74">IF(COUNTIF($J$2:$J$9,A74)&gt;0,0,INDEX($H$2:$H$8,B74))</f>
        <v>7</v>
      </c>
      <c r="D74">
        <f t="shared" si="5"/>
        <v>400</v>
      </c>
      <c r="E74">
        <f t="shared" si="4"/>
        <v>407</v>
      </c>
    </row>
    <row r="75" spans="1:5" x14ac:dyDescent="0.3">
      <c r="A75" s="4">
        <v>46219</v>
      </c>
      <c r="B75">
        <f t="shared" si="3"/>
        <v>4</v>
      </c>
      <c r="C75" cm="1">
        <f t="array" ref="C75">IF(COUNTIF($J$2:$J$9,A75)&gt;0,0,INDEX($H$2:$H$8,B75))</f>
        <v>8</v>
      </c>
      <c r="D75">
        <f t="shared" si="5"/>
        <v>407</v>
      </c>
      <c r="E75">
        <f t="shared" si="4"/>
        <v>415</v>
      </c>
    </row>
    <row r="76" spans="1:5" x14ac:dyDescent="0.3">
      <c r="A76" s="4">
        <v>46220</v>
      </c>
      <c r="B76">
        <f t="shared" si="3"/>
        <v>5</v>
      </c>
      <c r="C76" cm="1">
        <f t="array" ref="C76">IF(COUNTIF($J$2:$J$9,A76)&gt;0,0,INDEX($H$2:$H$8,B76))</f>
        <v>8</v>
      </c>
      <c r="D76">
        <f t="shared" si="5"/>
        <v>415</v>
      </c>
      <c r="E76">
        <f t="shared" si="4"/>
        <v>423</v>
      </c>
    </row>
    <row r="77" spans="1:5" x14ac:dyDescent="0.3">
      <c r="A77" s="4">
        <v>46221</v>
      </c>
      <c r="B77">
        <f t="shared" si="3"/>
        <v>6</v>
      </c>
      <c r="C77" cm="1">
        <f t="array" ref="C77">IF(COUNTIF($J$2:$J$9,A77)&gt;0,0,INDEX($H$2:$H$8,B77))</f>
        <v>4</v>
      </c>
      <c r="D77">
        <f t="shared" si="5"/>
        <v>423</v>
      </c>
      <c r="E77">
        <f t="shared" si="4"/>
        <v>427</v>
      </c>
    </row>
    <row r="78" spans="1:5" x14ac:dyDescent="0.3">
      <c r="A78" s="4">
        <v>46222</v>
      </c>
      <c r="B78">
        <f t="shared" si="3"/>
        <v>7</v>
      </c>
      <c r="C78" cm="1">
        <f t="array" ref="C78">IF(COUNTIF($J$2:$J$9,A78)&gt;0,0,INDEX($H$2:$H$8,B78))</f>
        <v>0</v>
      </c>
      <c r="D78">
        <f t="shared" si="5"/>
        <v>427</v>
      </c>
      <c r="E78">
        <f t="shared" si="4"/>
        <v>427</v>
      </c>
    </row>
    <row r="79" spans="1:5" x14ac:dyDescent="0.3">
      <c r="A79" s="4">
        <v>46223</v>
      </c>
      <c r="B79">
        <f t="shared" si="3"/>
        <v>1</v>
      </c>
      <c r="C79" cm="1">
        <f t="array" ref="C79">IF(COUNTIF($J$2:$J$9,A79)&gt;0,0,INDEX($H$2:$H$8,B79))</f>
        <v>0</v>
      </c>
      <c r="D79">
        <f t="shared" si="5"/>
        <v>427</v>
      </c>
      <c r="E79">
        <f t="shared" si="4"/>
        <v>427</v>
      </c>
    </row>
    <row r="80" spans="1:5" x14ac:dyDescent="0.3">
      <c r="A80" s="4">
        <v>46224</v>
      </c>
      <c r="B80">
        <f t="shared" si="3"/>
        <v>2</v>
      </c>
      <c r="C80" cm="1">
        <f t="array" ref="C80">IF(COUNTIF($J$2:$J$9,A80)&gt;0,0,INDEX($H$2:$H$8,B80))</f>
        <v>8</v>
      </c>
      <c r="D80">
        <f t="shared" si="5"/>
        <v>427</v>
      </c>
      <c r="E80">
        <f t="shared" si="4"/>
        <v>435</v>
      </c>
    </row>
    <row r="81" spans="1:5" x14ac:dyDescent="0.3">
      <c r="A81" s="4">
        <v>46225</v>
      </c>
      <c r="B81">
        <f t="shared" si="3"/>
        <v>3</v>
      </c>
      <c r="C81" cm="1">
        <f t="array" ref="C81">IF(COUNTIF($J$2:$J$9,A81)&gt;0,0,INDEX($H$2:$H$8,B81))</f>
        <v>7</v>
      </c>
      <c r="D81">
        <f t="shared" si="5"/>
        <v>435</v>
      </c>
      <c r="E81">
        <f t="shared" si="4"/>
        <v>442</v>
      </c>
    </row>
    <row r="82" spans="1:5" x14ac:dyDescent="0.3">
      <c r="A82" s="4">
        <v>46226</v>
      </c>
      <c r="B82">
        <f t="shared" si="3"/>
        <v>4</v>
      </c>
      <c r="C82" cm="1">
        <f t="array" ref="C82">IF(COUNTIF($J$2:$J$9,A82)&gt;0,0,INDEX($H$2:$H$8,B82))</f>
        <v>8</v>
      </c>
      <c r="D82">
        <f t="shared" si="5"/>
        <v>442</v>
      </c>
      <c r="E82">
        <f t="shared" si="4"/>
        <v>450</v>
      </c>
    </row>
    <row r="83" spans="1:5" x14ac:dyDescent="0.3">
      <c r="A83" s="4">
        <v>46227</v>
      </c>
      <c r="B83">
        <f t="shared" si="3"/>
        <v>5</v>
      </c>
      <c r="C83" cm="1">
        <f t="array" ref="C83">IF(COUNTIF($J$2:$J$9,A83)&gt;0,0,INDEX($H$2:$H$8,B83))</f>
        <v>8</v>
      </c>
      <c r="D83">
        <f t="shared" si="5"/>
        <v>450</v>
      </c>
      <c r="E83">
        <f t="shared" si="4"/>
        <v>458</v>
      </c>
    </row>
    <row r="84" spans="1:5" x14ac:dyDescent="0.3">
      <c r="A84" s="4">
        <v>46228</v>
      </c>
      <c r="B84">
        <f t="shared" si="3"/>
        <v>6</v>
      </c>
      <c r="C84" cm="1">
        <f t="array" ref="C84">IF(COUNTIF($J$2:$J$9,A84)&gt;0,0,INDEX($H$2:$H$8,B84))</f>
        <v>4</v>
      </c>
      <c r="D84">
        <f t="shared" si="5"/>
        <v>458</v>
      </c>
      <c r="E84">
        <f t="shared" si="4"/>
        <v>462</v>
      </c>
    </row>
    <row r="85" spans="1:5" x14ac:dyDescent="0.3">
      <c r="A85" s="4">
        <v>46229</v>
      </c>
      <c r="B85">
        <f t="shared" si="3"/>
        <v>7</v>
      </c>
      <c r="C85" cm="1">
        <f t="array" ref="C85">IF(COUNTIF($J$2:$J$9,A85)&gt;0,0,INDEX($H$2:$H$8,B85))</f>
        <v>0</v>
      </c>
      <c r="D85">
        <f t="shared" si="5"/>
        <v>462</v>
      </c>
      <c r="E85">
        <f t="shared" si="4"/>
        <v>462</v>
      </c>
    </row>
    <row r="86" spans="1:5" x14ac:dyDescent="0.3">
      <c r="A86" s="4">
        <v>46230</v>
      </c>
      <c r="B86">
        <f t="shared" si="3"/>
        <v>1</v>
      </c>
      <c r="C86" cm="1">
        <f t="array" ref="C86">IF(COUNTIF($J$2:$J$9,A86)&gt;0,0,INDEX($H$2:$H$8,B86))</f>
        <v>7</v>
      </c>
      <c r="D86">
        <f t="shared" si="5"/>
        <v>462</v>
      </c>
      <c r="E86">
        <f t="shared" si="4"/>
        <v>469</v>
      </c>
    </row>
    <row r="87" spans="1:5" x14ac:dyDescent="0.3">
      <c r="A87" s="4">
        <v>46231</v>
      </c>
      <c r="B87">
        <f t="shared" si="3"/>
        <v>2</v>
      </c>
      <c r="C87" cm="1">
        <f t="array" ref="C87">IF(COUNTIF($J$2:$J$9,A87)&gt;0,0,INDEX($H$2:$H$8,B87))</f>
        <v>8</v>
      </c>
      <c r="D87">
        <f t="shared" si="5"/>
        <v>469</v>
      </c>
      <c r="E87">
        <f t="shared" si="4"/>
        <v>477</v>
      </c>
    </row>
    <row r="88" spans="1:5" x14ac:dyDescent="0.3">
      <c r="A88" s="4">
        <v>46232</v>
      </c>
      <c r="B88">
        <f t="shared" si="3"/>
        <v>3</v>
      </c>
      <c r="C88" cm="1">
        <f t="array" ref="C88">IF(COUNTIF($J$2:$J$9,A88)&gt;0,0,INDEX($H$2:$H$8,B88))</f>
        <v>7</v>
      </c>
      <c r="D88">
        <f t="shared" si="5"/>
        <v>477</v>
      </c>
      <c r="E88">
        <f t="shared" si="4"/>
        <v>484</v>
      </c>
    </row>
    <row r="89" spans="1:5" x14ac:dyDescent="0.3">
      <c r="A89" s="4">
        <v>46233</v>
      </c>
      <c r="B89">
        <f t="shared" si="3"/>
        <v>4</v>
      </c>
      <c r="C89" cm="1">
        <f t="array" ref="C89">IF(COUNTIF($J$2:$J$9,A89)&gt;0,0,INDEX($H$2:$H$8,B89))</f>
        <v>8</v>
      </c>
      <c r="D89">
        <f t="shared" si="5"/>
        <v>484</v>
      </c>
      <c r="E89">
        <f t="shared" si="4"/>
        <v>492</v>
      </c>
    </row>
    <row r="90" spans="1:5" x14ac:dyDescent="0.3">
      <c r="A90" s="4">
        <v>46234</v>
      </c>
      <c r="B90">
        <f t="shared" si="3"/>
        <v>5</v>
      </c>
      <c r="C90" cm="1">
        <f t="array" ref="C90">IF(COUNTIF($J$2:$J$9,A90)&gt;0,0,INDEX($H$2:$H$8,B90))</f>
        <v>8</v>
      </c>
      <c r="D90">
        <f t="shared" si="5"/>
        <v>492</v>
      </c>
      <c r="E90">
        <f t="shared" si="4"/>
        <v>500</v>
      </c>
    </row>
    <row r="91" spans="1:5" x14ac:dyDescent="0.3">
      <c r="A91" s="4">
        <v>46235</v>
      </c>
      <c r="B91">
        <f t="shared" si="3"/>
        <v>6</v>
      </c>
      <c r="C91" cm="1">
        <f t="array" ref="C91">IF(COUNTIF($J$2:$J$9,A91)&gt;0,0,INDEX($H$2:$H$8,B91))</f>
        <v>4</v>
      </c>
      <c r="D91">
        <f t="shared" si="5"/>
        <v>500</v>
      </c>
      <c r="E91">
        <f t="shared" si="4"/>
        <v>504</v>
      </c>
    </row>
    <row r="92" spans="1:5" x14ac:dyDescent="0.3">
      <c r="A92" s="4">
        <v>46236</v>
      </c>
      <c r="B92">
        <f t="shared" si="3"/>
        <v>7</v>
      </c>
      <c r="C92" cm="1">
        <f t="array" ref="C92">IF(COUNTIF($J$2:$J$9,A92)&gt;0,0,INDEX($H$2:$H$8,B92))</f>
        <v>0</v>
      </c>
      <c r="D92">
        <f t="shared" si="5"/>
        <v>504</v>
      </c>
      <c r="E92">
        <f t="shared" si="4"/>
        <v>504</v>
      </c>
    </row>
    <row r="93" spans="1:5" x14ac:dyDescent="0.3">
      <c r="A93" s="4">
        <v>46237</v>
      </c>
      <c r="B93">
        <f t="shared" si="3"/>
        <v>1</v>
      </c>
      <c r="C93" cm="1">
        <f t="array" ref="C93">IF(COUNTIF($J$2:$J$9,A93)&gt;0,0,INDEX($H$2:$H$8,B93))</f>
        <v>7</v>
      </c>
      <c r="D93">
        <f t="shared" si="5"/>
        <v>504</v>
      </c>
      <c r="E93">
        <f t="shared" si="4"/>
        <v>511</v>
      </c>
    </row>
    <row r="94" spans="1:5" x14ac:dyDescent="0.3">
      <c r="A94" s="4">
        <v>46238</v>
      </c>
      <c r="B94">
        <f t="shared" si="3"/>
        <v>2</v>
      </c>
      <c r="C94" cm="1">
        <f t="array" ref="C94">IF(COUNTIF($J$2:$J$9,A94)&gt;0,0,INDEX($H$2:$H$8,B94))</f>
        <v>8</v>
      </c>
      <c r="D94">
        <f t="shared" si="5"/>
        <v>511</v>
      </c>
      <c r="E94">
        <f t="shared" si="4"/>
        <v>519</v>
      </c>
    </row>
    <row r="95" spans="1:5" x14ac:dyDescent="0.3">
      <c r="A95" s="4">
        <v>46239</v>
      </c>
      <c r="B95">
        <f t="shared" si="3"/>
        <v>3</v>
      </c>
      <c r="C95" cm="1">
        <f t="array" ref="C95">IF(COUNTIF($J$2:$J$9,A95)&gt;0,0,INDEX($H$2:$H$8,B95))</f>
        <v>7</v>
      </c>
      <c r="D95">
        <f t="shared" si="5"/>
        <v>519</v>
      </c>
      <c r="E95">
        <f t="shared" si="4"/>
        <v>526</v>
      </c>
    </row>
    <row r="96" spans="1:5" x14ac:dyDescent="0.3">
      <c r="A96" s="4">
        <v>46240</v>
      </c>
      <c r="B96">
        <f t="shared" si="3"/>
        <v>4</v>
      </c>
      <c r="C96" cm="1">
        <f t="array" ref="C96">IF(COUNTIF($J$2:$J$9,A96)&gt;0,0,INDEX($H$2:$H$8,B96))</f>
        <v>8</v>
      </c>
      <c r="D96">
        <f t="shared" si="5"/>
        <v>526</v>
      </c>
      <c r="E96">
        <f t="shared" si="4"/>
        <v>534</v>
      </c>
    </row>
    <row r="97" spans="1:5" x14ac:dyDescent="0.3">
      <c r="A97" s="4">
        <v>46241</v>
      </c>
      <c r="B97">
        <f t="shared" si="3"/>
        <v>5</v>
      </c>
      <c r="C97" cm="1">
        <f t="array" ref="C97">IF(COUNTIF($J$2:$J$9,A97)&gt;0,0,INDEX($H$2:$H$8,B97))</f>
        <v>0</v>
      </c>
      <c r="D97">
        <f t="shared" si="5"/>
        <v>534</v>
      </c>
      <c r="E97">
        <f t="shared" si="4"/>
        <v>534</v>
      </c>
    </row>
    <row r="98" spans="1:5" x14ac:dyDescent="0.3">
      <c r="A98" s="4">
        <v>46242</v>
      </c>
      <c r="B98">
        <f t="shared" si="3"/>
        <v>6</v>
      </c>
      <c r="C98" cm="1">
        <f t="array" ref="C98">IF(COUNTIF($J$2:$J$9,A98)&gt;0,0,INDEX($H$2:$H$8,B98))</f>
        <v>4</v>
      </c>
      <c r="D98">
        <f t="shared" si="5"/>
        <v>534</v>
      </c>
      <c r="E98">
        <f t="shared" si="4"/>
        <v>538</v>
      </c>
    </row>
    <row r="99" spans="1:5" x14ac:dyDescent="0.3">
      <c r="A99" s="4">
        <v>46243</v>
      </c>
      <c r="B99">
        <f t="shared" si="3"/>
        <v>7</v>
      </c>
      <c r="C99" cm="1">
        <f t="array" ref="C99">IF(COUNTIF($J$2:$J$9,A99)&gt;0,0,INDEX($H$2:$H$8,B99))</f>
        <v>0</v>
      </c>
      <c r="D99">
        <f t="shared" si="5"/>
        <v>538</v>
      </c>
      <c r="E99">
        <f t="shared" si="4"/>
        <v>538</v>
      </c>
    </row>
    <row r="100" spans="1:5" x14ac:dyDescent="0.3">
      <c r="A100" s="4">
        <v>46244</v>
      </c>
      <c r="B100">
        <f t="shared" si="3"/>
        <v>1</v>
      </c>
      <c r="C100" cm="1">
        <f t="array" ref="C100">IF(COUNTIF($J$2:$J$9,A100)&gt;0,0,INDEX($H$2:$H$8,B100))</f>
        <v>7</v>
      </c>
      <c r="D100">
        <f t="shared" si="5"/>
        <v>538</v>
      </c>
      <c r="E100">
        <f t="shared" si="4"/>
        <v>545</v>
      </c>
    </row>
    <row r="101" spans="1:5" x14ac:dyDescent="0.3">
      <c r="A101" s="4">
        <v>46245</v>
      </c>
      <c r="B101">
        <f t="shared" si="3"/>
        <v>2</v>
      </c>
      <c r="C101" cm="1">
        <f t="array" ref="C101">IF(COUNTIF($J$2:$J$9,A101)&gt;0,0,INDEX($H$2:$H$8,B101))</f>
        <v>8</v>
      </c>
      <c r="D101">
        <f t="shared" si="5"/>
        <v>545</v>
      </c>
      <c r="E101">
        <f t="shared" si="4"/>
        <v>553</v>
      </c>
    </row>
    <row r="102" spans="1:5" x14ac:dyDescent="0.3">
      <c r="A102" s="4">
        <v>46246</v>
      </c>
      <c r="B102">
        <f t="shared" si="3"/>
        <v>3</v>
      </c>
      <c r="C102" cm="1">
        <f t="array" ref="C102">IF(COUNTIF($J$2:$J$9,A102)&gt;0,0,INDEX($H$2:$H$8,B102))</f>
        <v>7</v>
      </c>
      <c r="D102">
        <f t="shared" si="5"/>
        <v>553</v>
      </c>
      <c r="E102">
        <f t="shared" si="4"/>
        <v>560</v>
      </c>
    </row>
    <row r="103" spans="1:5" x14ac:dyDescent="0.3">
      <c r="A103" s="4">
        <v>46247</v>
      </c>
      <c r="B103">
        <f t="shared" si="3"/>
        <v>4</v>
      </c>
      <c r="C103" cm="1">
        <f t="array" ref="C103">IF(COUNTIF($J$2:$J$9,A103)&gt;0,0,INDEX($H$2:$H$8,B103))</f>
        <v>8</v>
      </c>
      <c r="D103">
        <f t="shared" si="5"/>
        <v>560</v>
      </c>
      <c r="E103">
        <f t="shared" si="4"/>
        <v>568</v>
      </c>
    </row>
    <row r="104" spans="1:5" x14ac:dyDescent="0.3">
      <c r="A104" s="4">
        <v>46248</v>
      </c>
      <c r="B104">
        <f t="shared" si="3"/>
        <v>5</v>
      </c>
      <c r="C104" cm="1">
        <f t="array" ref="C104">IF(COUNTIF($J$2:$J$9,A104)&gt;0,0,INDEX($H$2:$H$8,B104))</f>
        <v>8</v>
      </c>
      <c r="D104">
        <f t="shared" si="5"/>
        <v>568</v>
      </c>
      <c r="E104">
        <f t="shared" si="4"/>
        <v>576</v>
      </c>
    </row>
    <row r="105" spans="1:5" x14ac:dyDescent="0.3">
      <c r="A105" s="4">
        <v>46249</v>
      </c>
      <c r="B105">
        <f t="shared" si="3"/>
        <v>6</v>
      </c>
      <c r="C105" cm="1">
        <f t="array" ref="C105">IF(COUNTIF($J$2:$J$9,A105)&gt;0,0,INDEX($H$2:$H$8,B105))</f>
        <v>4</v>
      </c>
      <c r="D105">
        <f t="shared" si="5"/>
        <v>576</v>
      </c>
      <c r="E105">
        <f t="shared" si="4"/>
        <v>580</v>
      </c>
    </row>
    <row r="106" spans="1:5" x14ac:dyDescent="0.3">
      <c r="A106" s="4">
        <v>46250</v>
      </c>
      <c r="B106">
        <f t="shared" si="3"/>
        <v>7</v>
      </c>
      <c r="C106" cm="1">
        <f t="array" ref="C106">IF(COUNTIF($J$2:$J$9,A106)&gt;0,0,INDEX($H$2:$H$8,B106))</f>
        <v>0</v>
      </c>
      <c r="D106">
        <f t="shared" si="5"/>
        <v>580</v>
      </c>
      <c r="E106">
        <f t="shared" si="4"/>
        <v>580</v>
      </c>
    </row>
    <row r="107" spans="1:5" x14ac:dyDescent="0.3">
      <c r="A107" s="4">
        <v>46251</v>
      </c>
      <c r="B107">
        <f t="shared" si="3"/>
        <v>1</v>
      </c>
      <c r="C107" cm="1">
        <f t="array" ref="C107">IF(COUNTIF($J$2:$J$9,A107)&gt;0,0,INDEX($H$2:$H$8,B107))</f>
        <v>0</v>
      </c>
      <c r="D107">
        <f t="shared" si="5"/>
        <v>580</v>
      </c>
      <c r="E107">
        <f t="shared" si="4"/>
        <v>580</v>
      </c>
    </row>
    <row r="108" spans="1:5" x14ac:dyDescent="0.3">
      <c r="A108" s="4">
        <v>46252</v>
      </c>
      <c r="B108">
        <f t="shared" si="3"/>
        <v>2</v>
      </c>
      <c r="C108" cm="1">
        <f t="array" ref="C108">IF(COUNTIF($J$2:$J$9,A108)&gt;0,0,INDEX($H$2:$H$8,B108))</f>
        <v>8</v>
      </c>
      <c r="D108">
        <f t="shared" si="5"/>
        <v>580</v>
      </c>
      <c r="E108">
        <f t="shared" si="4"/>
        <v>588</v>
      </c>
    </row>
    <row r="109" spans="1:5" x14ac:dyDescent="0.3">
      <c r="A109" s="4">
        <v>46253</v>
      </c>
      <c r="B109">
        <f t="shared" si="3"/>
        <v>3</v>
      </c>
      <c r="C109" cm="1">
        <f t="array" ref="C109">IF(COUNTIF($J$2:$J$9,A109)&gt;0,0,INDEX($H$2:$H$8,B109))</f>
        <v>7</v>
      </c>
      <c r="D109">
        <f t="shared" si="5"/>
        <v>588</v>
      </c>
      <c r="E109">
        <f t="shared" si="4"/>
        <v>595</v>
      </c>
    </row>
    <row r="110" spans="1:5" x14ac:dyDescent="0.3">
      <c r="A110" s="4">
        <v>46254</v>
      </c>
      <c r="B110">
        <f t="shared" si="3"/>
        <v>4</v>
      </c>
      <c r="C110" cm="1">
        <f t="array" ref="C110">IF(COUNTIF($J$2:$J$9,A110)&gt;0,0,INDEX($H$2:$H$8,B110))</f>
        <v>8</v>
      </c>
      <c r="D110">
        <f t="shared" si="5"/>
        <v>595</v>
      </c>
      <c r="E110">
        <f t="shared" si="4"/>
        <v>603</v>
      </c>
    </row>
    <row r="111" spans="1:5" x14ac:dyDescent="0.3">
      <c r="A111" s="4">
        <v>46255</v>
      </c>
      <c r="B111">
        <f t="shared" si="3"/>
        <v>5</v>
      </c>
      <c r="C111" cm="1">
        <f t="array" ref="C111">IF(COUNTIF($J$2:$J$9,A111)&gt;0,0,INDEX($H$2:$H$8,B111))</f>
        <v>8</v>
      </c>
      <c r="D111">
        <f t="shared" si="5"/>
        <v>603</v>
      </c>
      <c r="E111">
        <f t="shared" si="4"/>
        <v>611</v>
      </c>
    </row>
    <row r="112" spans="1:5" x14ac:dyDescent="0.3">
      <c r="A112" s="4">
        <v>46256</v>
      </c>
      <c r="B112">
        <f t="shared" si="3"/>
        <v>6</v>
      </c>
      <c r="C112" cm="1">
        <f t="array" ref="C112">IF(COUNTIF($J$2:$J$9,A112)&gt;0,0,INDEX($H$2:$H$8,B112))</f>
        <v>4</v>
      </c>
      <c r="D112">
        <f t="shared" si="5"/>
        <v>611</v>
      </c>
      <c r="E112">
        <f t="shared" si="4"/>
        <v>615</v>
      </c>
    </row>
    <row r="113" spans="1:5" x14ac:dyDescent="0.3">
      <c r="A113" s="4">
        <v>46257</v>
      </c>
      <c r="B113">
        <f t="shared" si="3"/>
        <v>7</v>
      </c>
      <c r="C113" cm="1">
        <f t="array" ref="C113">IF(COUNTIF($J$2:$J$9,A113)&gt;0,0,INDEX($H$2:$H$8,B113))</f>
        <v>0</v>
      </c>
      <c r="D113">
        <f t="shared" si="5"/>
        <v>615</v>
      </c>
      <c r="E113">
        <f t="shared" si="4"/>
        <v>615</v>
      </c>
    </row>
    <row r="114" spans="1:5" x14ac:dyDescent="0.3">
      <c r="A114" s="4">
        <v>46258</v>
      </c>
      <c r="B114">
        <f t="shared" si="3"/>
        <v>1</v>
      </c>
      <c r="C114" cm="1">
        <f t="array" ref="C114">IF(COUNTIF($J$2:$J$9,A114)&gt;0,0,INDEX($H$2:$H$8,B114))</f>
        <v>7</v>
      </c>
      <c r="D114">
        <f t="shared" si="5"/>
        <v>615</v>
      </c>
      <c r="E114">
        <f t="shared" si="4"/>
        <v>622</v>
      </c>
    </row>
    <row r="115" spans="1:5" x14ac:dyDescent="0.3">
      <c r="A115" s="4">
        <v>46259</v>
      </c>
      <c r="B115">
        <f t="shared" si="3"/>
        <v>2</v>
      </c>
      <c r="C115" cm="1">
        <f t="array" ref="C115">IF(COUNTIF($J$2:$J$9,A115)&gt;0,0,INDEX($H$2:$H$8,B115))</f>
        <v>8</v>
      </c>
      <c r="D115">
        <f t="shared" si="5"/>
        <v>622</v>
      </c>
      <c r="E115">
        <f t="shared" si="4"/>
        <v>630</v>
      </c>
    </row>
    <row r="116" spans="1:5" x14ac:dyDescent="0.3">
      <c r="A116" s="4">
        <v>46260</v>
      </c>
      <c r="B116">
        <f t="shared" si="3"/>
        <v>3</v>
      </c>
      <c r="C116" cm="1">
        <f t="array" ref="C116">IF(COUNTIF($J$2:$J$9,A116)&gt;0,0,INDEX($H$2:$H$8,B116))</f>
        <v>7</v>
      </c>
      <c r="D116">
        <f t="shared" si="5"/>
        <v>630</v>
      </c>
      <c r="E116">
        <f t="shared" si="4"/>
        <v>637</v>
      </c>
    </row>
    <row r="117" spans="1:5" x14ac:dyDescent="0.3">
      <c r="A117" s="4">
        <v>46261</v>
      </c>
      <c r="B117">
        <f t="shared" si="3"/>
        <v>4</v>
      </c>
      <c r="C117" cm="1">
        <f t="array" ref="C117">IF(COUNTIF($J$2:$J$9,A117)&gt;0,0,INDEX($H$2:$H$8,B117))</f>
        <v>8</v>
      </c>
      <c r="D117">
        <f t="shared" si="5"/>
        <v>637</v>
      </c>
      <c r="E117">
        <f t="shared" si="4"/>
        <v>645</v>
      </c>
    </row>
    <row r="118" spans="1:5" x14ac:dyDescent="0.3">
      <c r="A118" s="4">
        <v>46262</v>
      </c>
      <c r="B118">
        <f t="shared" si="3"/>
        <v>5</v>
      </c>
      <c r="C118" cm="1">
        <f t="array" ref="C118">IF(COUNTIF($J$2:$J$9,A118)&gt;0,0,INDEX($H$2:$H$8,B118))</f>
        <v>8</v>
      </c>
      <c r="D118">
        <f t="shared" si="5"/>
        <v>645</v>
      </c>
      <c r="E118">
        <f t="shared" si="4"/>
        <v>653</v>
      </c>
    </row>
    <row r="119" spans="1:5" x14ac:dyDescent="0.3">
      <c r="A119" s="4">
        <v>46263</v>
      </c>
      <c r="B119">
        <f t="shared" si="3"/>
        <v>6</v>
      </c>
      <c r="C119" cm="1">
        <f t="array" ref="C119">IF(COUNTIF($J$2:$J$9,A119)&gt;0,0,INDEX($H$2:$H$8,B119))</f>
        <v>4</v>
      </c>
      <c r="D119">
        <f t="shared" si="5"/>
        <v>653</v>
      </c>
      <c r="E119">
        <f t="shared" si="4"/>
        <v>657</v>
      </c>
    </row>
    <row r="120" spans="1:5" x14ac:dyDescent="0.3">
      <c r="A120" s="4">
        <v>46264</v>
      </c>
      <c r="B120">
        <f t="shared" si="3"/>
        <v>7</v>
      </c>
      <c r="C120" cm="1">
        <f t="array" ref="C120">IF(COUNTIF($J$2:$J$9,A120)&gt;0,0,INDEX($H$2:$H$8,B120))</f>
        <v>0</v>
      </c>
      <c r="D120">
        <f t="shared" si="5"/>
        <v>657</v>
      </c>
      <c r="E120">
        <f t="shared" si="4"/>
        <v>657</v>
      </c>
    </row>
    <row r="121" spans="1:5" x14ac:dyDescent="0.3">
      <c r="A121" s="4">
        <v>46265</v>
      </c>
      <c r="B121">
        <f t="shared" si="3"/>
        <v>1</v>
      </c>
      <c r="C121" cm="1">
        <f t="array" ref="C121">IF(COUNTIF($J$2:$J$9,A121)&gt;0,0,INDEX($H$2:$H$8,B121))</f>
        <v>7</v>
      </c>
      <c r="D121">
        <f t="shared" si="5"/>
        <v>657</v>
      </c>
      <c r="E121">
        <f t="shared" si="4"/>
        <v>664</v>
      </c>
    </row>
    <row r="122" spans="1:5" x14ac:dyDescent="0.3">
      <c r="A122" s="4">
        <v>46266</v>
      </c>
      <c r="B122">
        <f t="shared" si="3"/>
        <v>2</v>
      </c>
      <c r="C122" cm="1">
        <f t="array" ref="C122">IF(COUNTIF($J$2:$J$9,A122)&gt;0,0,INDEX($H$2:$H$8,B122))</f>
        <v>8</v>
      </c>
      <c r="D122">
        <f t="shared" si="5"/>
        <v>664</v>
      </c>
      <c r="E122">
        <f t="shared" si="4"/>
        <v>672</v>
      </c>
    </row>
    <row r="123" spans="1:5" x14ac:dyDescent="0.3">
      <c r="A123" s="4">
        <v>46267</v>
      </c>
      <c r="B123">
        <f t="shared" si="3"/>
        <v>3</v>
      </c>
      <c r="C123" cm="1">
        <f t="array" ref="C123">IF(COUNTIF($J$2:$J$9,A123)&gt;0,0,INDEX($H$2:$H$8,B123))</f>
        <v>7</v>
      </c>
      <c r="D123">
        <f t="shared" si="5"/>
        <v>672</v>
      </c>
      <c r="E123">
        <f t="shared" si="4"/>
        <v>679</v>
      </c>
    </row>
    <row r="124" spans="1:5" x14ac:dyDescent="0.3">
      <c r="A124" s="4">
        <v>46268</v>
      </c>
      <c r="B124">
        <f t="shared" si="3"/>
        <v>4</v>
      </c>
      <c r="C124" cm="1">
        <f t="array" ref="C124">IF(COUNTIF($J$2:$J$9,A124)&gt;0,0,INDEX($H$2:$H$8,B124))</f>
        <v>8</v>
      </c>
      <c r="D124">
        <f t="shared" si="5"/>
        <v>679</v>
      </c>
      <c r="E124">
        <f t="shared" si="4"/>
        <v>687</v>
      </c>
    </row>
    <row r="125" spans="1:5" x14ac:dyDescent="0.3">
      <c r="A125" s="4">
        <v>46269</v>
      </c>
      <c r="B125">
        <f t="shared" si="3"/>
        <v>5</v>
      </c>
      <c r="C125" cm="1">
        <f t="array" ref="C125">IF(COUNTIF($J$2:$J$9,A125)&gt;0,0,INDEX($H$2:$H$8,B125))</f>
        <v>8</v>
      </c>
      <c r="D125">
        <f t="shared" si="5"/>
        <v>687</v>
      </c>
      <c r="E125">
        <f t="shared" si="4"/>
        <v>695</v>
      </c>
    </row>
    <row r="126" spans="1:5" x14ac:dyDescent="0.3">
      <c r="A126" s="4">
        <v>46270</v>
      </c>
      <c r="B126">
        <f t="shared" si="3"/>
        <v>6</v>
      </c>
      <c r="C126" cm="1">
        <f t="array" ref="C126">IF(COUNTIF($J$2:$J$9,A126)&gt;0,0,INDEX($H$2:$H$8,B126))</f>
        <v>4</v>
      </c>
      <c r="D126">
        <f t="shared" si="5"/>
        <v>695</v>
      </c>
      <c r="E126">
        <f t="shared" si="4"/>
        <v>699</v>
      </c>
    </row>
    <row r="127" spans="1:5" x14ac:dyDescent="0.3">
      <c r="A127" s="4">
        <v>46271</v>
      </c>
      <c r="B127">
        <f t="shared" si="3"/>
        <v>7</v>
      </c>
      <c r="C127" cm="1">
        <f t="array" ref="C127">IF(COUNTIF($J$2:$J$9,A127)&gt;0,0,INDEX($H$2:$H$8,B127))</f>
        <v>0</v>
      </c>
      <c r="D127">
        <f t="shared" si="5"/>
        <v>699</v>
      </c>
      <c r="E127">
        <f t="shared" si="4"/>
        <v>699</v>
      </c>
    </row>
    <row r="128" spans="1:5" x14ac:dyDescent="0.3">
      <c r="A128" s="4">
        <v>46272</v>
      </c>
      <c r="B128">
        <f t="shared" si="3"/>
        <v>1</v>
      </c>
      <c r="C128" cm="1">
        <f t="array" ref="C128">IF(COUNTIF($J$2:$J$9,A128)&gt;0,0,INDEX($H$2:$H$8,B128))</f>
        <v>7</v>
      </c>
      <c r="D128">
        <f t="shared" si="5"/>
        <v>699</v>
      </c>
      <c r="E128">
        <f t="shared" si="4"/>
        <v>706</v>
      </c>
    </row>
    <row r="129" spans="1:5" x14ac:dyDescent="0.3">
      <c r="A129" s="4">
        <v>46273</v>
      </c>
      <c r="B129">
        <f t="shared" si="3"/>
        <v>2</v>
      </c>
      <c r="C129" cm="1">
        <f t="array" ref="C129">IF(COUNTIF($J$2:$J$9,A129)&gt;0,0,INDEX($H$2:$H$8,B129))</f>
        <v>8</v>
      </c>
      <c r="D129">
        <f t="shared" si="5"/>
        <v>706</v>
      </c>
      <c r="E129">
        <f t="shared" si="4"/>
        <v>714</v>
      </c>
    </row>
    <row r="130" spans="1:5" x14ac:dyDescent="0.3">
      <c r="A130" s="4">
        <v>46274</v>
      </c>
      <c r="B130">
        <f t="shared" si="3"/>
        <v>3</v>
      </c>
      <c r="C130" cm="1">
        <f t="array" ref="C130">IF(COUNTIF($J$2:$J$9,A130)&gt;0,0,INDEX($H$2:$H$8,B130))</f>
        <v>7</v>
      </c>
      <c r="D130">
        <f t="shared" si="5"/>
        <v>714</v>
      </c>
      <c r="E130">
        <f t="shared" si="4"/>
        <v>721</v>
      </c>
    </row>
    <row r="131" spans="1:5" x14ac:dyDescent="0.3">
      <c r="A131" s="4">
        <v>46275</v>
      </c>
      <c r="B131">
        <f t="shared" ref="B131:B168" si="6">WEEKDAY(A131,2)</f>
        <v>4</v>
      </c>
      <c r="C131" cm="1">
        <f t="array" ref="C131">IF(COUNTIF($J$2:$J$9,A131)&gt;0,0,INDEX($H$2:$H$8,B131))</f>
        <v>8</v>
      </c>
      <c r="D131">
        <f t="shared" si="5"/>
        <v>721</v>
      </c>
      <c r="E131">
        <f t="shared" ref="E131:E168" si="7">C131+D131</f>
        <v>729</v>
      </c>
    </row>
    <row r="132" spans="1:5" x14ac:dyDescent="0.3">
      <c r="A132" s="4">
        <v>46276</v>
      </c>
      <c r="B132">
        <f t="shared" si="6"/>
        <v>5</v>
      </c>
      <c r="C132" cm="1">
        <f t="array" ref="C132">IF(COUNTIF($J$2:$J$9,A132)&gt;0,0,INDEX($H$2:$H$8,B132))</f>
        <v>8</v>
      </c>
      <c r="D132">
        <f t="shared" ref="D132:D168" si="8">E131</f>
        <v>729</v>
      </c>
      <c r="E132">
        <f t="shared" si="7"/>
        <v>737</v>
      </c>
    </row>
    <row r="133" spans="1:5" x14ac:dyDescent="0.3">
      <c r="A133" s="4">
        <v>46277</v>
      </c>
      <c r="B133">
        <f t="shared" si="6"/>
        <v>6</v>
      </c>
      <c r="C133" cm="1">
        <f t="array" ref="C133">IF(COUNTIF($J$2:$J$9,A133)&gt;0,0,INDEX($H$2:$H$8,B133))</f>
        <v>4</v>
      </c>
      <c r="D133">
        <f t="shared" si="8"/>
        <v>737</v>
      </c>
      <c r="E133">
        <f t="shared" si="7"/>
        <v>741</v>
      </c>
    </row>
    <row r="134" spans="1:5" x14ac:dyDescent="0.3">
      <c r="A134" s="4">
        <v>46278</v>
      </c>
      <c r="B134">
        <f t="shared" si="6"/>
        <v>7</v>
      </c>
      <c r="C134" cm="1">
        <f t="array" ref="C134">IF(COUNTIF($J$2:$J$9,A134)&gt;0,0,INDEX($H$2:$H$8,B134))</f>
        <v>0</v>
      </c>
      <c r="D134">
        <f t="shared" si="8"/>
        <v>741</v>
      </c>
      <c r="E134">
        <f t="shared" si="7"/>
        <v>741</v>
      </c>
    </row>
    <row r="135" spans="1:5" x14ac:dyDescent="0.3">
      <c r="A135" s="4">
        <v>46279</v>
      </c>
      <c r="B135">
        <f t="shared" si="6"/>
        <v>1</v>
      </c>
      <c r="C135" cm="1">
        <f t="array" ref="C135">IF(COUNTIF($J$2:$J$9,A135)&gt;0,0,INDEX($H$2:$H$8,B135))</f>
        <v>7</v>
      </c>
      <c r="D135">
        <f t="shared" si="8"/>
        <v>741</v>
      </c>
      <c r="E135">
        <f t="shared" si="7"/>
        <v>748</v>
      </c>
    </row>
    <row r="136" spans="1:5" x14ac:dyDescent="0.3">
      <c r="A136" s="4">
        <v>46280</v>
      </c>
      <c r="B136">
        <f t="shared" si="6"/>
        <v>2</v>
      </c>
      <c r="C136" cm="1">
        <f t="array" ref="C136">IF(COUNTIF($J$2:$J$9,A136)&gt;0,0,INDEX($H$2:$H$8,B136))</f>
        <v>8</v>
      </c>
      <c r="D136">
        <f t="shared" si="8"/>
        <v>748</v>
      </c>
      <c r="E136">
        <f t="shared" si="7"/>
        <v>756</v>
      </c>
    </row>
    <row r="137" spans="1:5" x14ac:dyDescent="0.3">
      <c r="A137" s="4">
        <v>46281</v>
      </c>
      <c r="B137">
        <f t="shared" si="6"/>
        <v>3</v>
      </c>
      <c r="C137" cm="1">
        <f t="array" ref="C137">IF(COUNTIF($J$2:$J$9,A137)&gt;0,0,INDEX($H$2:$H$8,B137))</f>
        <v>7</v>
      </c>
      <c r="D137">
        <f t="shared" si="8"/>
        <v>756</v>
      </c>
      <c r="E137">
        <f t="shared" si="7"/>
        <v>763</v>
      </c>
    </row>
    <row r="138" spans="1:5" x14ac:dyDescent="0.3">
      <c r="A138" s="4">
        <v>46282</v>
      </c>
      <c r="B138">
        <f t="shared" si="6"/>
        <v>4</v>
      </c>
      <c r="C138" cm="1">
        <f t="array" ref="C138">IF(COUNTIF($J$2:$J$9,A138)&gt;0,0,INDEX($H$2:$H$8,B138))</f>
        <v>8</v>
      </c>
      <c r="D138">
        <f t="shared" si="8"/>
        <v>763</v>
      </c>
      <c r="E138">
        <f t="shared" si="7"/>
        <v>771</v>
      </c>
    </row>
    <row r="139" spans="1:5" x14ac:dyDescent="0.3">
      <c r="A139" s="4">
        <v>46283</v>
      </c>
      <c r="B139">
        <f t="shared" si="6"/>
        <v>5</v>
      </c>
      <c r="C139" cm="1">
        <f t="array" ref="C139">IF(COUNTIF($J$2:$J$9,A139)&gt;0,0,INDEX($H$2:$H$8,B139))</f>
        <v>8</v>
      </c>
      <c r="D139">
        <f t="shared" si="8"/>
        <v>771</v>
      </c>
      <c r="E139">
        <f t="shared" si="7"/>
        <v>779</v>
      </c>
    </row>
    <row r="140" spans="1:5" x14ac:dyDescent="0.3">
      <c r="A140" s="4">
        <v>46284</v>
      </c>
      <c r="B140">
        <f t="shared" si="6"/>
        <v>6</v>
      </c>
      <c r="C140" cm="1">
        <f t="array" ref="C140">IF(COUNTIF($J$2:$J$9,A140)&gt;0,0,INDEX($H$2:$H$8,B140))</f>
        <v>4</v>
      </c>
      <c r="D140">
        <f t="shared" si="8"/>
        <v>779</v>
      </c>
      <c r="E140">
        <f t="shared" si="7"/>
        <v>783</v>
      </c>
    </row>
    <row r="141" spans="1:5" x14ac:dyDescent="0.3">
      <c r="A141" s="4">
        <v>46285</v>
      </c>
      <c r="B141">
        <f t="shared" si="6"/>
        <v>7</v>
      </c>
      <c r="C141" cm="1">
        <f t="array" ref="C141">IF(COUNTIF($J$2:$J$9,A141)&gt;0,0,INDEX($H$2:$H$8,B141))</f>
        <v>0</v>
      </c>
      <c r="D141">
        <f t="shared" si="8"/>
        <v>783</v>
      </c>
      <c r="E141">
        <f t="shared" si="7"/>
        <v>783</v>
      </c>
    </row>
    <row r="142" spans="1:5" x14ac:dyDescent="0.3">
      <c r="A142" s="4">
        <v>46286</v>
      </c>
      <c r="B142">
        <f t="shared" si="6"/>
        <v>1</v>
      </c>
      <c r="C142" cm="1">
        <f t="array" ref="C142">IF(COUNTIF($J$2:$J$9,A142)&gt;0,0,INDEX($H$2:$H$8,B142))</f>
        <v>7</v>
      </c>
      <c r="D142">
        <f t="shared" si="8"/>
        <v>783</v>
      </c>
      <c r="E142">
        <f t="shared" si="7"/>
        <v>790</v>
      </c>
    </row>
    <row r="143" spans="1:5" x14ac:dyDescent="0.3">
      <c r="A143" s="4">
        <v>46287</v>
      </c>
      <c r="B143">
        <f t="shared" si="6"/>
        <v>2</v>
      </c>
      <c r="C143" cm="1">
        <f t="array" ref="C143">IF(COUNTIF($J$2:$J$9,A143)&gt;0,0,INDEX($H$2:$H$8,B143))</f>
        <v>8</v>
      </c>
      <c r="D143">
        <f t="shared" si="8"/>
        <v>790</v>
      </c>
      <c r="E143">
        <f t="shared" si="7"/>
        <v>798</v>
      </c>
    </row>
    <row r="144" spans="1:5" x14ac:dyDescent="0.3">
      <c r="A144" s="4">
        <v>46288</v>
      </c>
      <c r="B144">
        <f t="shared" si="6"/>
        <v>3</v>
      </c>
      <c r="C144" cm="1">
        <f t="array" ref="C144">IF(COUNTIF($J$2:$J$9,A144)&gt;0,0,INDEX($H$2:$H$8,B144))</f>
        <v>7</v>
      </c>
      <c r="D144">
        <f t="shared" si="8"/>
        <v>798</v>
      </c>
      <c r="E144">
        <f t="shared" si="7"/>
        <v>805</v>
      </c>
    </row>
    <row r="145" spans="1:5" x14ac:dyDescent="0.3">
      <c r="A145" s="4">
        <v>46289</v>
      </c>
      <c r="B145">
        <f t="shared" si="6"/>
        <v>4</v>
      </c>
      <c r="C145" cm="1">
        <f t="array" ref="C145">IF(COUNTIF($J$2:$J$9,A145)&gt;0,0,INDEX($H$2:$H$8,B145))</f>
        <v>8</v>
      </c>
      <c r="D145">
        <f t="shared" si="8"/>
        <v>805</v>
      </c>
      <c r="E145">
        <f t="shared" si="7"/>
        <v>813</v>
      </c>
    </row>
    <row r="146" spans="1:5" x14ac:dyDescent="0.3">
      <c r="A146" s="4">
        <v>46290</v>
      </c>
      <c r="B146">
        <f t="shared" si="6"/>
        <v>5</v>
      </c>
      <c r="C146" cm="1">
        <f t="array" ref="C146">IF(COUNTIF($J$2:$J$9,A146)&gt;0,0,INDEX($H$2:$H$8,B146))</f>
        <v>8</v>
      </c>
      <c r="D146">
        <f t="shared" si="8"/>
        <v>813</v>
      </c>
      <c r="E146">
        <f t="shared" si="7"/>
        <v>821</v>
      </c>
    </row>
    <row r="147" spans="1:5" x14ac:dyDescent="0.3">
      <c r="A147" s="4">
        <v>46291</v>
      </c>
      <c r="B147">
        <f t="shared" si="6"/>
        <v>6</v>
      </c>
      <c r="C147" cm="1">
        <f t="array" ref="C147">IF(COUNTIF($J$2:$J$9,A147)&gt;0,0,INDEX($H$2:$H$8,B147))</f>
        <v>4</v>
      </c>
      <c r="D147">
        <f t="shared" si="8"/>
        <v>821</v>
      </c>
      <c r="E147">
        <f t="shared" si="7"/>
        <v>825</v>
      </c>
    </row>
    <row r="148" spans="1:5" x14ac:dyDescent="0.3">
      <c r="A148" s="4">
        <v>46292</v>
      </c>
      <c r="B148">
        <f t="shared" si="6"/>
        <v>7</v>
      </c>
      <c r="C148" cm="1">
        <f t="array" ref="C148">IF(COUNTIF($J$2:$J$9,A148)&gt;0,0,INDEX($H$2:$H$8,B148))</f>
        <v>0</v>
      </c>
      <c r="D148">
        <f t="shared" si="8"/>
        <v>825</v>
      </c>
      <c r="E148">
        <f t="shared" si="7"/>
        <v>825</v>
      </c>
    </row>
    <row r="149" spans="1:5" x14ac:dyDescent="0.3">
      <c r="A149" s="4">
        <v>46293</v>
      </c>
      <c r="B149">
        <f t="shared" si="6"/>
        <v>1</v>
      </c>
      <c r="C149" cm="1">
        <f t="array" ref="C149">IF(COUNTIF($J$2:$J$9,A149)&gt;0,0,INDEX($H$2:$H$8,B149))</f>
        <v>7</v>
      </c>
      <c r="D149">
        <f t="shared" si="8"/>
        <v>825</v>
      </c>
      <c r="E149">
        <f t="shared" si="7"/>
        <v>832</v>
      </c>
    </row>
    <row r="150" spans="1:5" x14ac:dyDescent="0.3">
      <c r="A150" s="4">
        <v>46294</v>
      </c>
      <c r="B150">
        <f t="shared" si="6"/>
        <v>2</v>
      </c>
      <c r="C150" cm="1">
        <f t="array" ref="C150">IF(COUNTIF($J$2:$J$9,A150)&gt;0,0,INDEX($H$2:$H$8,B150))</f>
        <v>8</v>
      </c>
      <c r="D150">
        <f t="shared" si="8"/>
        <v>832</v>
      </c>
      <c r="E150">
        <f t="shared" si="7"/>
        <v>840</v>
      </c>
    </row>
    <row r="151" spans="1:5" x14ac:dyDescent="0.3">
      <c r="A151" s="4">
        <v>46295</v>
      </c>
      <c r="B151">
        <f t="shared" si="6"/>
        <v>3</v>
      </c>
      <c r="C151" cm="1">
        <f t="array" ref="C151">IF(COUNTIF($J$2:$J$9,A151)&gt;0,0,INDEX($H$2:$H$8,B151))</f>
        <v>7</v>
      </c>
      <c r="D151">
        <f t="shared" si="8"/>
        <v>840</v>
      </c>
      <c r="E151">
        <f t="shared" si="7"/>
        <v>847</v>
      </c>
    </row>
    <row r="152" spans="1:5" x14ac:dyDescent="0.3">
      <c r="A152" s="4">
        <v>46296</v>
      </c>
      <c r="B152">
        <f t="shared" si="6"/>
        <v>4</v>
      </c>
      <c r="C152" cm="1">
        <f t="array" ref="C152">IF(COUNTIF($J$2:$J$9,A152)&gt;0,0,INDEX($H$2:$H$8,B152))</f>
        <v>8</v>
      </c>
      <c r="D152">
        <f t="shared" si="8"/>
        <v>847</v>
      </c>
      <c r="E152">
        <f t="shared" si="7"/>
        <v>855</v>
      </c>
    </row>
    <row r="153" spans="1:5" x14ac:dyDescent="0.3">
      <c r="A153" s="4">
        <v>46297</v>
      </c>
      <c r="B153">
        <f t="shared" si="6"/>
        <v>5</v>
      </c>
      <c r="C153" cm="1">
        <f t="array" ref="C153">IF(COUNTIF($J$2:$J$9,A153)&gt;0,0,INDEX($H$2:$H$8,B153))</f>
        <v>8</v>
      </c>
      <c r="D153">
        <f t="shared" si="8"/>
        <v>855</v>
      </c>
      <c r="E153">
        <f t="shared" si="7"/>
        <v>863</v>
      </c>
    </row>
    <row r="154" spans="1:5" x14ac:dyDescent="0.3">
      <c r="A154" s="4">
        <v>46298</v>
      </c>
      <c r="B154">
        <f t="shared" si="6"/>
        <v>6</v>
      </c>
      <c r="C154" cm="1">
        <f t="array" ref="C154">IF(COUNTIF($J$2:$J$9,A154)&gt;0,0,INDEX($H$2:$H$8,B154))</f>
        <v>4</v>
      </c>
      <c r="D154">
        <f t="shared" si="8"/>
        <v>863</v>
      </c>
      <c r="E154">
        <f t="shared" si="7"/>
        <v>867</v>
      </c>
    </row>
    <row r="155" spans="1:5" x14ac:dyDescent="0.3">
      <c r="A155" s="4">
        <v>46299</v>
      </c>
      <c r="B155">
        <f t="shared" si="6"/>
        <v>7</v>
      </c>
      <c r="C155" cm="1">
        <f t="array" ref="C155">IF(COUNTIF($J$2:$J$9,A155)&gt;0,0,INDEX($H$2:$H$8,B155))</f>
        <v>0</v>
      </c>
      <c r="D155">
        <f t="shared" si="8"/>
        <v>867</v>
      </c>
      <c r="E155">
        <f t="shared" si="7"/>
        <v>867</v>
      </c>
    </row>
    <row r="156" spans="1:5" x14ac:dyDescent="0.3">
      <c r="A156" s="4">
        <v>46300</v>
      </c>
      <c r="B156">
        <f t="shared" si="6"/>
        <v>1</v>
      </c>
      <c r="C156" cm="1">
        <f t="array" ref="C156">IF(COUNTIF($J$2:$J$9,A156)&gt;0,0,INDEX($H$2:$H$8,B156))</f>
        <v>7</v>
      </c>
      <c r="D156">
        <f t="shared" si="8"/>
        <v>867</v>
      </c>
      <c r="E156">
        <f t="shared" si="7"/>
        <v>874</v>
      </c>
    </row>
    <row r="157" spans="1:5" x14ac:dyDescent="0.3">
      <c r="A157" s="4">
        <v>46301</v>
      </c>
      <c r="B157">
        <f t="shared" si="6"/>
        <v>2</v>
      </c>
      <c r="C157" cm="1">
        <f t="array" ref="C157">IF(COUNTIF($J$2:$J$9,A157)&gt;0,0,INDEX($H$2:$H$8,B157))</f>
        <v>8</v>
      </c>
      <c r="D157">
        <f t="shared" si="8"/>
        <v>874</v>
      </c>
      <c r="E157">
        <f t="shared" si="7"/>
        <v>882</v>
      </c>
    </row>
    <row r="158" spans="1:5" x14ac:dyDescent="0.3">
      <c r="A158" s="4">
        <v>46302</v>
      </c>
      <c r="B158">
        <f t="shared" si="6"/>
        <v>3</v>
      </c>
      <c r="C158" cm="1">
        <f t="array" ref="C158">IF(COUNTIF($J$2:$J$9,A158)&gt;0,0,INDEX($H$2:$H$8,B158))</f>
        <v>7</v>
      </c>
      <c r="D158">
        <f t="shared" si="8"/>
        <v>882</v>
      </c>
      <c r="E158">
        <f t="shared" si="7"/>
        <v>889</v>
      </c>
    </row>
    <row r="159" spans="1:5" x14ac:dyDescent="0.3">
      <c r="A159" s="4">
        <v>46303</v>
      </c>
      <c r="B159">
        <f t="shared" si="6"/>
        <v>4</v>
      </c>
      <c r="C159" cm="1">
        <f t="array" ref="C159">IF(COUNTIF($J$2:$J$9,A159)&gt;0,0,INDEX($H$2:$H$8,B159))</f>
        <v>8</v>
      </c>
      <c r="D159">
        <f t="shared" si="8"/>
        <v>889</v>
      </c>
      <c r="E159">
        <f t="shared" si="7"/>
        <v>897</v>
      </c>
    </row>
    <row r="160" spans="1:5" x14ac:dyDescent="0.3">
      <c r="A160" s="4">
        <v>46304</v>
      </c>
      <c r="B160">
        <f t="shared" si="6"/>
        <v>5</v>
      </c>
      <c r="C160" cm="1">
        <f t="array" ref="C160">IF(COUNTIF($J$2:$J$9,A160)&gt;0,0,INDEX($H$2:$H$8,B160))</f>
        <v>8</v>
      </c>
      <c r="D160">
        <f t="shared" si="8"/>
        <v>897</v>
      </c>
      <c r="E160">
        <f t="shared" si="7"/>
        <v>905</v>
      </c>
    </row>
    <row r="161" spans="1:5" x14ac:dyDescent="0.3">
      <c r="A161" s="4">
        <v>46305</v>
      </c>
      <c r="B161">
        <f t="shared" si="6"/>
        <v>6</v>
      </c>
      <c r="C161" cm="1">
        <f t="array" ref="C161">IF(COUNTIF($J$2:$J$9,A161)&gt;0,0,INDEX($H$2:$H$8,B161))</f>
        <v>4</v>
      </c>
      <c r="D161">
        <f t="shared" si="8"/>
        <v>905</v>
      </c>
      <c r="E161">
        <f t="shared" si="7"/>
        <v>909</v>
      </c>
    </row>
    <row r="162" spans="1:5" x14ac:dyDescent="0.3">
      <c r="A162" s="4">
        <v>46306</v>
      </c>
      <c r="B162">
        <f t="shared" si="6"/>
        <v>7</v>
      </c>
      <c r="C162" cm="1">
        <f t="array" ref="C162">IF(COUNTIF($J$2:$J$9,A162)&gt;0,0,INDEX($H$2:$H$8,B162))</f>
        <v>0</v>
      </c>
      <c r="D162">
        <f t="shared" si="8"/>
        <v>909</v>
      </c>
      <c r="E162">
        <f t="shared" si="7"/>
        <v>909</v>
      </c>
    </row>
    <row r="163" spans="1:5" x14ac:dyDescent="0.3">
      <c r="A163" s="4">
        <v>46307</v>
      </c>
      <c r="B163">
        <f t="shared" si="6"/>
        <v>1</v>
      </c>
      <c r="C163" cm="1">
        <f t="array" ref="C163">IF(COUNTIF($J$2:$J$9,A163)&gt;0,0,INDEX($H$2:$H$8,B163))</f>
        <v>7</v>
      </c>
      <c r="D163">
        <f t="shared" si="8"/>
        <v>909</v>
      </c>
      <c r="E163">
        <f t="shared" si="7"/>
        <v>916</v>
      </c>
    </row>
    <row r="164" spans="1:5" x14ac:dyDescent="0.3">
      <c r="A164" s="4">
        <v>46308</v>
      </c>
      <c r="B164">
        <f t="shared" si="6"/>
        <v>2</v>
      </c>
      <c r="C164" cm="1">
        <f t="array" ref="C164">IF(COUNTIF($J$2:$J$9,A164)&gt;0,0,INDEX($H$2:$H$8,B164))</f>
        <v>8</v>
      </c>
      <c r="D164">
        <f t="shared" si="8"/>
        <v>916</v>
      </c>
      <c r="E164">
        <f t="shared" si="7"/>
        <v>924</v>
      </c>
    </row>
    <row r="165" spans="1:5" x14ac:dyDescent="0.3">
      <c r="A165" s="4">
        <v>46309</v>
      </c>
      <c r="B165">
        <f t="shared" si="6"/>
        <v>3</v>
      </c>
      <c r="C165" cm="1">
        <f t="array" ref="C165">IF(COUNTIF($J$2:$J$9,A165)&gt;0,0,INDEX($H$2:$H$8,B165))</f>
        <v>7</v>
      </c>
      <c r="D165">
        <f t="shared" si="8"/>
        <v>924</v>
      </c>
      <c r="E165">
        <f t="shared" si="7"/>
        <v>931</v>
      </c>
    </row>
    <row r="166" spans="1:5" x14ac:dyDescent="0.3">
      <c r="A166" s="4">
        <v>46310</v>
      </c>
      <c r="B166">
        <f t="shared" si="6"/>
        <v>4</v>
      </c>
      <c r="C166" cm="1">
        <f t="array" ref="C166">IF(COUNTIF($J$2:$J$9,A166)&gt;0,0,INDEX($H$2:$H$8,B166))</f>
        <v>8</v>
      </c>
      <c r="D166">
        <f t="shared" si="8"/>
        <v>931</v>
      </c>
      <c r="E166">
        <f t="shared" si="7"/>
        <v>939</v>
      </c>
    </row>
    <row r="167" spans="1:5" x14ac:dyDescent="0.3">
      <c r="A167" s="4">
        <v>46311</v>
      </c>
      <c r="B167">
        <f t="shared" si="6"/>
        <v>5</v>
      </c>
      <c r="C167" cm="1">
        <f t="array" ref="C167">IF(COUNTIF($J$2:$J$9,A167)&gt;0,0,INDEX($H$2:$H$8,B167))</f>
        <v>8</v>
      </c>
      <c r="D167">
        <f t="shared" si="8"/>
        <v>939</v>
      </c>
      <c r="E167">
        <f t="shared" si="7"/>
        <v>947</v>
      </c>
    </row>
    <row r="168" spans="1:5" x14ac:dyDescent="0.3">
      <c r="A168" s="4">
        <v>46312</v>
      </c>
      <c r="B168">
        <f t="shared" si="6"/>
        <v>6</v>
      </c>
      <c r="C168" cm="1">
        <f t="array" ref="C168">IF(COUNTIF($J$2:$J$9,A168)&gt;0,0,INDEX($H$2:$H$8,B168))</f>
        <v>4</v>
      </c>
      <c r="D168">
        <f t="shared" si="8"/>
        <v>947</v>
      </c>
      <c r="E168">
        <f t="shared" si="7"/>
        <v>951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1237-172B-427D-AAFB-6063A09F18FF}">
  <dimension ref="A1:H24"/>
  <sheetViews>
    <sheetView workbookViewId="0">
      <selection activeCell="F16" sqref="F16"/>
    </sheetView>
  </sheetViews>
  <sheetFormatPr baseColWidth="10" defaultRowHeight="14.4" x14ac:dyDescent="0.3"/>
  <cols>
    <col min="5" max="5" width="9.77734375" customWidth="1"/>
  </cols>
  <sheetData>
    <row r="1" spans="1:8" s="1" customFormat="1" ht="28.8" x14ac:dyDescent="0.3">
      <c r="A1" s="6" t="s">
        <v>56</v>
      </c>
      <c r="B1" s="6" t="s">
        <v>65</v>
      </c>
      <c r="C1" s="6" t="s">
        <v>67</v>
      </c>
      <c r="D1" s="6" t="s">
        <v>68</v>
      </c>
      <c r="E1" s="6" t="s">
        <v>75</v>
      </c>
      <c r="F1" s="6" t="s">
        <v>69</v>
      </c>
      <c r="G1" s="9" t="s">
        <v>78</v>
      </c>
    </row>
    <row r="2" spans="1:8" x14ac:dyDescent="0.3">
      <c r="A2" t="s">
        <v>42</v>
      </c>
      <c r="B2" t="s">
        <v>1</v>
      </c>
      <c r="C2">
        <v>1172</v>
      </c>
      <c r="D2" s="4">
        <v>46146</v>
      </c>
      <c r="E2">
        <f>INDEX(Disponibilidad!$D$2:$D$168,MATCH(Trabajos!D2,Disponibilidad!$A$2:$A$168,0))</f>
        <v>0</v>
      </c>
      <c r="F2" s="4">
        <v>46266</v>
      </c>
      <c r="G2">
        <f>INDEX(Disponibilidad!$E$2:$E$168,MATCH(F2,Disponibilidad!$A$2:$A$168,0))</f>
        <v>672</v>
      </c>
      <c r="H2" s="4"/>
    </row>
    <row r="3" spans="1:8" x14ac:dyDescent="0.3">
      <c r="A3" t="s">
        <v>57</v>
      </c>
      <c r="B3" t="s">
        <v>1</v>
      </c>
      <c r="C3">
        <v>624</v>
      </c>
      <c r="D3" s="4">
        <v>46146</v>
      </c>
      <c r="E3">
        <f>INDEX(Disponibilidad!$D$2:$D$168,MATCH(Trabajos!D3,Disponibilidad!$A$2:$A$168,0))</f>
        <v>0</v>
      </c>
      <c r="F3" s="4">
        <v>46248</v>
      </c>
      <c r="G3">
        <f>INDEX(Disponibilidad!$E$2:$E$168,MATCH(F3,Disponibilidad!$A$2:$A$168,0))</f>
        <v>576</v>
      </c>
    </row>
    <row r="4" spans="1:8" x14ac:dyDescent="0.3">
      <c r="A4" t="s">
        <v>58</v>
      </c>
      <c r="B4" t="s">
        <v>3</v>
      </c>
      <c r="C4">
        <v>630</v>
      </c>
      <c r="D4" s="4">
        <v>46148</v>
      </c>
      <c r="E4">
        <f>INDEX(Disponibilidad!$D$2:$D$168,MATCH(Trabajos!D4,Disponibilidad!$A$2:$A$168,0))</f>
        <v>15</v>
      </c>
      <c r="F4" s="4">
        <v>46231</v>
      </c>
      <c r="G4">
        <f>INDEX(Disponibilidad!$E$2:$E$168,MATCH(F4,Disponibilidad!$A$2:$A$168,0))</f>
        <v>477</v>
      </c>
    </row>
    <row r="5" spans="1:8" x14ac:dyDescent="0.3">
      <c r="A5" t="s">
        <v>59</v>
      </c>
      <c r="B5" t="s">
        <v>5</v>
      </c>
      <c r="C5">
        <v>660</v>
      </c>
      <c r="D5" s="4">
        <v>46153</v>
      </c>
      <c r="E5">
        <f>INDEX(Disponibilidad!$D$2:$D$168,MATCH(Trabajos!D5,Disponibilidad!$A$2:$A$168,0))</f>
        <v>42</v>
      </c>
      <c r="F5" s="4">
        <v>46245</v>
      </c>
      <c r="G5">
        <f>INDEX(Disponibilidad!$E$2:$E$168,MATCH(F5,Disponibilidad!$A$2:$A$168,0))</f>
        <v>553</v>
      </c>
    </row>
    <row r="6" spans="1:8" x14ac:dyDescent="0.3">
      <c r="A6" t="s">
        <v>60</v>
      </c>
      <c r="B6" t="s">
        <v>2</v>
      </c>
      <c r="C6">
        <v>426</v>
      </c>
      <c r="D6" s="4">
        <v>46155</v>
      </c>
      <c r="E6">
        <f>INDEX(Disponibilidad!$D$2:$D$168,MATCH(Trabajos!D6,Disponibilidad!$A$2:$A$168,0))</f>
        <v>57</v>
      </c>
      <c r="F6" s="4">
        <v>46254</v>
      </c>
      <c r="G6">
        <f>INDEX(Disponibilidad!$E$2:$E$168,MATCH(F6,Disponibilidad!$A$2:$A$168,0))</f>
        <v>603</v>
      </c>
    </row>
    <row r="7" spans="1:8" x14ac:dyDescent="0.3">
      <c r="A7" t="s">
        <v>61</v>
      </c>
      <c r="B7" t="s">
        <v>1</v>
      </c>
      <c r="C7">
        <v>768</v>
      </c>
      <c r="D7" s="4">
        <v>46155</v>
      </c>
      <c r="E7">
        <f>INDEX(Disponibilidad!$D$2:$D$168,MATCH(Trabajos!D7,Disponibilidad!$A$2:$A$168,0))</f>
        <v>57</v>
      </c>
      <c r="F7" s="4">
        <v>46261</v>
      </c>
      <c r="G7">
        <f>INDEX(Disponibilidad!$E$2:$E$168,MATCH(F7,Disponibilidad!$A$2:$A$168,0))</f>
        <v>645</v>
      </c>
    </row>
    <row r="8" spans="1:8" x14ac:dyDescent="0.3">
      <c r="A8" t="s">
        <v>62</v>
      </c>
      <c r="B8" t="s">
        <v>7</v>
      </c>
      <c r="C8">
        <v>336</v>
      </c>
      <c r="D8" s="4">
        <v>46157</v>
      </c>
      <c r="E8">
        <f>INDEX(Disponibilidad!$D$2:$D$168,MATCH(Trabajos!D8,Disponibilidad!$A$2:$A$168,0))</f>
        <v>72</v>
      </c>
      <c r="F8" s="4">
        <v>46217</v>
      </c>
      <c r="G8">
        <f>INDEX(Disponibilidad!$E$2:$E$168,MATCH(F8,Disponibilidad!$A$2:$A$168,0))</f>
        <v>400</v>
      </c>
    </row>
    <row r="9" spans="1:8" x14ac:dyDescent="0.3">
      <c r="A9" t="s">
        <v>63</v>
      </c>
      <c r="B9" t="s">
        <v>2</v>
      </c>
      <c r="C9">
        <v>486</v>
      </c>
      <c r="D9" s="4">
        <v>46161</v>
      </c>
      <c r="E9">
        <f>INDEX(Disponibilidad!$D$2:$D$168,MATCH(Trabajos!D9,Disponibilidad!$A$2:$A$168,0))</f>
        <v>84</v>
      </c>
      <c r="F9" s="4">
        <v>46252</v>
      </c>
      <c r="G9">
        <f>INDEX(Disponibilidad!$E$2:$E$168,MATCH(F9,Disponibilidad!$A$2:$A$168,0))</f>
        <v>588</v>
      </c>
    </row>
    <row r="10" spans="1:8" x14ac:dyDescent="0.3">
      <c r="A10" t="s">
        <v>64</v>
      </c>
      <c r="B10" t="s">
        <v>4</v>
      </c>
      <c r="C10">
        <v>210</v>
      </c>
      <c r="D10" s="4">
        <v>46163</v>
      </c>
      <c r="E10">
        <f>INDEX(Disponibilidad!$D$2:$D$168,MATCH(Trabajos!D10,Disponibilidad!$A$2:$A$168,0))</f>
        <v>99</v>
      </c>
      <c r="F10" s="4">
        <v>46221</v>
      </c>
      <c r="G10">
        <f>INDEX(Disponibilidad!$E$2:$E$168,MATCH(F10,Disponibilidad!$A$2:$A$168,0))</f>
        <v>427</v>
      </c>
    </row>
    <row r="11" spans="1:8" x14ac:dyDescent="0.3">
      <c r="A11" t="s">
        <v>66</v>
      </c>
      <c r="B11" t="s">
        <v>6</v>
      </c>
      <c r="C11">
        <v>522</v>
      </c>
      <c r="D11" s="4">
        <v>46166</v>
      </c>
      <c r="E11">
        <f>INDEX(Disponibilidad!$D$2:$D$168,MATCH(Trabajos!D11,Disponibilidad!$A$2:$A$168,0))</f>
        <v>119</v>
      </c>
      <c r="F11" s="4">
        <v>46264</v>
      </c>
      <c r="G11">
        <f>INDEX(Disponibilidad!$E$2:$E$168,MATCH(F11,Disponibilidad!$A$2:$A$168,0))</f>
        <v>657</v>
      </c>
    </row>
    <row r="15" spans="1:8" x14ac:dyDescent="0.3">
      <c r="D15" s="4"/>
      <c r="F15" s="4"/>
    </row>
    <row r="16" spans="1:8" x14ac:dyDescent="0.3">
      <c r="D16" s="4"/>
      <c r="F16" s="4"/>
    </row>
    <row r="17" spans="4:6" x14ac:dyDescent="0.3">
      <c r="D17" s="4"/>
      <c r="F17" s="4"/>
    </row>
    <row r="18" spans="4:6" x14ac:dyDescent="0.3">
      <c r="D18" s="4"/>
      <c r="F18" s="4"/>
    </row>
    <row r="19" spans="4:6" x14ac:dyDescent="0.3">
      <c r="D19" s="4"/>
      <c r="F19" s="4"/>
    </row>
    <row r="20" spans="4:6" x14ac:dyDescent="0.3">
      <c r="D20" s="4"/>
      <c r="F20" s="4"/>
    </row>
    <row r="21" spans="4:6" x14ac:dyDescent="0.3">
      <c r="D21" s="4"/>
      <c r="F21" s="4"/>
    </row>
    <row r="22" spans="4:6" x14ac:dyDescent="0.3">
      <c r="D22" s="4"/>
      <c r="F22" s="4"/>
    </row>
    <row r="23" spans="4:6" x14ac:dyDescent="0.3">
      <c r="D23" s="4"/>
      <c r="F23" s="4"/>
    </row>
    <row r="24" spans="4:6" x14ac:dyDescent="0.3">
      <c r="D24" s="4"/>
      <c r="F24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Tiempo de procesamiento</vt:lpstr>
      <vt:lpstr>Disponibilidad</vt:lpstr>
      <vt:lpstr>Trabajos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Gissel Tapue Pastuzan</dc:creator>
  <cp:lastModifiedBy>Luisa Gissel Tapue Pastuzan</cp:lastModifiedBy>
  <dcterms:created xsi:type="dcterms:W3CDTF">2026-10-12T15:50:32Z</dcterms:created>
  <dcterms:modified xsi:type="dcterms:W3CDTF">2026-10-21T14:30:26Z</dcterms:modified>
</cp:coreProperties>
</file>