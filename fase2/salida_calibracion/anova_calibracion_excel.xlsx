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rridas" sheetId="2" state="visible" r:id="rId2"/>
    <sheet xmlns:r="http://schemas.openxmlformats.org/officeDocument/2006/relationships" name="ANO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#,##0.0"/>
  </numFmts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ANOVA DE LA CALIBRACIÓN DEL ALGORITMO GENÉTICO, PASO A PASO</t>
        </is>
      </c>
    </row>
    <row r="2">
      <c r="A2" s="2" t="inlineStr"/>
    </row>
    <row r="3">
      <c r="A3" s="2" t="inlineStr">
        <is>
          <t>Hoja "Corridas": los 135 resultados del diseño factorial 3³ (5 réplicas por combinación).</t>
        </is>
      </c>
    </row>
    <row r="4">
      <c r="A4" s="2" t="inlineStr">
        <is>
          <t>Cada fila es una corrida del AG con su población, probabilidad de cruce, probabilidad de mutación y semilla.</t>
        </is>
      </c>
    </row>
    <row r="5">
      <c r="A5" s="2" t="inlineStr">
        <is>
          <t>La respuesta analizada es la tardanza total ΣTj (columna E).</t>
        </is>
      </c>
    </row>
    <row r="6">
      <c r="A6" s="2" t="inlineStr"/>
    </row>
    <row r="7">
      <c r="A7" s="2" t="inlineStr">
        <is>
          <t>Hoja "ANOVA": todas las cifras se calculan con fórmulas a partir de "Corridas". Pueden revisar cada celda.</t>
        </is>
      </c>
    </row>
    <row r="8">
      <c r="A8" s="2" t="inlineStr">
        <is>
          <t xml:space="preserve">  1. Media general de ΣTj.</t>
        </is>
      </c>
    </row>
    <row r="9">
      <c r="A9" s="2" t="inlineStr">
        <is>
          <t xml:space="preserve">  2. Efectos principales: media de cada nivel; SC del factor = Σ n_nivel · (media_nivel − media general)².</t>
        </is>
      </c>
    </row>
    <row r="10">
      <c r="A10" s="2" t="inlineStr">
        <is>
          <t xml:space="preserve">  3. Interacciones dobles: SC = Σ n_celda · (media_celda − media_nivel_A − media_nivel_B + media general)².</t>
        </is>
      </c>
    </row>
    <row r="11">
      <c r="A11" s="2" t="inlineStr">
        <is>
          <t xml:space="preserve">  4. SC total = Σ (ΣTj − media general)²  (función DESVIA2 / DEVSQ).</t>
        </is>
      </c>
    </row>
    <row r="12">
      <c r="A12" s="2" t="inlineStr">
        <is>
          <t xml:space="preserve">  5. SC del error = SC total − suma de las SC de los efectos (incluye la interacción triple).</t>
        </is>
      </c>
    </row>
    <row r="13">
      <c r="A13" s="2" t="inlineStr">
        <is>
          <t xml:space="preserve">  6. CM = SC / gl;  F = CM / CM del error;  valor p = DISTR.F (cola derecha).</t>
        </is>
      </c>
    </row>
    <row r="14">
      <c r="A14" s="2" t="inlineStr"/>
    </row>
    <row r="15">
      <c r="A15" s="2" t="inlineStr">
        <is>
          <t>Resultado esperado: población (F ≈ 20,65) y mutación (F ≈ 8,65) significativas (p &lt; 0,001);</t>
        </is>
      </c>
    </row>
    <row r="16">
      <c r="A16" s="2" t="inlineStr">
        <is>
          <t>cruce (p ≈ 0,127) e interacciones no significativas. Coincide con la Tabla del ANOVA de la Fase 2.</t>
        </is>
      </c>
    </row>
    <row r="17">
      <c r="A17" s="2" t="inlineStr"/>
    </row>
    <row r="18">
      <c r="A18" s="2" t="inlineStr">
        <is>
          <t>Ejercicio sugerido: cambien un valor de ΣTj en "Corridas" y observen cómo cambian las SC y el valor F.</t>
        </is>
      </c>
    </row>
    <row r="19">
      <c r="A19" s="2" t="inlineStr">
        <is>
          <t>Para comprobar que los datos son reproducibles, usen fase2/verificar_reproduccion.py.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Población</t>
        </is>
      </c>
      <c r="B1" s="3" t="inlineStr">
        <is>
          <t>Prob. cruce</t>
        </is>
      </c>
      <c r="C1" s="3" t="inlineStr">
        <is>
          <t>Prob. mutación</t>
        </is>
      </c>
      <c r="D1" s="3" t="inlineStr">
        <is>
          <t>Semilla</t>
        </is>
      </c>
      <c r="E1" s="3" t="inlineStr">
        <is>
          <t>ΣTj (h)</t>
        </is>
      </c>
      <c r="F1" s="3" t="inlineStr">
        <is>
          <t>Cmax (h)</t>
        </is>
      </c>
    </row>
    <row r="2">
      <c r="A2" t="n">
        <v>50</v>
      </c>
      <c r="B2" t="n">
        <v>0.7</v>
      </c>
      <c r="C2" t="n">
        <v>0.1</v>
      </c>
      <c r="D2" t="n">
        <v>1001</v>
      </c>
      <c r="E2" s="4" t="n">
        <v>99.962</v>
      </c>
      <c r="F2" s="4" t="n">
        <v>771.962</v>
      </c>
    </row>
    <row r="3">
      <c r="A3" t="n">
        <v>50</v>
      </c>
      <c r="B3" t="n">
        <v>0.7</v>
      </c>
      <c r="C3" t="n">
        <v>0.1</v>
      </c>
      <c r="D3" t="n">
        <v>1002</v>
      </c>
      <c r="E3" s="4" t="n">
        <v>4.2413333333335</v>
      </c>
      <c r="F3" s="4" t="n">
        <v>676.1715000000002</v>
      </c>
    </row>
    <row r="4">
      <c r="A4" t="n">
        <v>50</v>
      </c>
      <c r="B4" t="n">
        <v>0.7</v>
      </c>
      <c r="C4" t="n">
        <v>0.1</v>
      </c>
      <c r="D4" t="n">
        <v>1003</v>
      </c>
      <c r="E4" s="4" t="n">
        <v>46.91399999999976</v>
      </c>
      <c r="F4" s="4" t="n">
        <v>718.9139999999998</v>
      </c>
    </row>
    <row r="5">
      <c r="A5" t="n">
        <v>50</v>
      </c>
      <c r="B5" t="n">
        <v>0.7</v>
      </c>
      <c r="C5" t="n">
        <v>0.1</v>
      </c>
      <c r="D5" t="n">
        <v>1004</v>
      </c>
      <c r="E5" s="4" t="n">
        <v>74.19016666666653</v>
      </c>
      <c r="F5" s="4" t="n">
        <v>746.1901666666665</v>
      </c>
    </row>
    <row r="6">
      <c r="A6" t="n">
        <v>50</v>
      </c>
      <c r="B6" t="n">
        <v>0.7</v>
      </c>
      <c r="C6" t="n">
        <v>0.1</v>
      </c>
      <c r="D6" t="n">
        <v>1005</v>
      </c>
      <c r="E6" s="4" t="n">
        <v>83.81983333333335</v>
      </c>
      <c r="F6" s="4" t="n">
        <v>755.8198333333333</v>
      </c>
    </row>
    <row r="7">
      <c r="A7" t="n">
        <v>50</v>
      </c>
      <c r="B7" t="n">
        <v>0.7</v>
      </c>
      <c r="C7" t="n">
        <v>0.3</v>
      </c>
      <c r="D7" t="n">
        <v>1001</v>
      </c>
      <c r="E7" s="4" t="n">
        <v>51.12566666666658</v>
      </c>
      <c r="F7" s="4" t="n">
        <v>723.1256666666666</v>
      </c>
    </row>
    <row r="8">
      <c r="A8" t="n">
        <v>50</v>
      </c>
      <c r="B8" t="n">
        <v>0.7</v>
      </c>
      <c r="C8" t="n">
        <v>0.3</v>
      </c>
      <c r="D8" t="n">
        <v>1002</v>
      </c>
      <c r="E8" s="4" t="n">
        <v>8.647333333333677</v>
      </c>
      <c r="F8" s="4" t="n">
        <v>680.6473333333337</v>
      </c>
    </row>
    <row r="9">
      <c r="A9" t="n">
        <v>50</v>
      </c>
      <c r="B9" t="n">
        <v>0.7</v>
      </c>
      <c r="C9" t="n">
        <v>0.3</v>
      </c>
      <c r="D9" t="n">
        <v>1003</v>
      </c>
      <c r="E9" s="4" t="n">
        <v>46.96583333333342</v>
      </c>
      <c r="F9" s="4" t="n">
        <v>718.9658333333334</v>
      </c>
    </row>
    <row r="10">
      <c r="A10" t="n">
        <v>50</v>
      </c>
      <c r="B10" t="n">
        <v>0.7</v>
      </c>
      <c r="C10" t="n">
        <v>0.3</v>
      </c>
      <c r="D10" t="n">
        <v>1004</v>
      </c>
      <c r="E10" s="4" t="n">
        <v>56.53133333333358</v>
      </c>
      <c r="F10" s="4" t="n">
        <v>728.5313333333336</v>
      </c>
    </row>
    <row r="11">
      <c r="A11" t="n">
        <v>50</v>
      </c>
      <c r="B11" t="n">
        <v>0.7</v>
      </c>
      <c r="C11" t="n">
        <v>0.3</v>
      </c>
      <c r="D11" t="n">
        <v>1005</v>
      </c>
      <c r="E11" s="4" t="n">
        <v>4.701666666666824</v>
      </c>
      <c r="F11" s="4" t="n">
        <v>676.7016666666668</v>
      </c>
    </row>
    <row r="12">
      <c r="A12" t="n">
        <v>50</v>
      </c>
      <c r="B12" t="n">
        <v>0.7</v>
      </c>
      <c r="C12" t="n">
        <v>0.5</v>
      </c>
      <c r="D12" t="n">
        <v>1001</v>
      </c>
      <c r="E12" s="4" t="n">
        <v>42.7461666666668</v>
      </c>
      <c r="F12" s="4" t="n">
        <v>714.7461666666668</v>
      </c>
    </row>
    <row r="13">
      <c r="A13" t="n">
        <v>50</v>
      </c>
      <c r="B13" t="n">
        <v>0.7</v>
      </c>
      <c r="C13" t="n">
        <v>0.5</v>
      </c>
      <c r="D13" t="n">
        <v>1002</v>
      </c>
      <c r="E13" s="4" t="n">
        <v>1.742833333333465</v>
      </c>
      <c r="F13" s="4" t="n">
        <v>673.7428333333335</v>
      </c>
    </row>
    <row r="14">
      <c r="A14" t="n">
        <v>50</v>
      </c>
      <c r="B14" t="n">
        <v>0.7</v>
      </c>
      <c r="C14" t="n">
        <v>0.5</v>
      </c>
      <c r="D14" t="n">
        <v>1003</v>
      </c>
      <c r="E14" s="4" t="n">
        <v>22.42616666666675</v>
      </c>
      <c r="F14" s="4" t="n">
        <v>694.4261666666667</v>
      </c>
    </row>
    <row r="15">
      <c r="A15" t="n">
        <v>50</v>
      </c>
      <c r="B15" t="n">
        <v>0.7</v>
      </c>
      <c r="C15" t="n">
        <v>0.5</v>
      </c>
      <c r="D15" t="n">
        <v>1004</v>
      </c>
      <c r="E15" s="4" t="n">
        <v>26.90950000000009</v>
      </c>
      <c r="F15" s="4" t="n">
        <v>698.9095000000001</v>
      </c>
    </row>
    <row r="16">
      <c r="A16" t="n">
        <v>50</v>
      </c>
      <c r="B16" t="n">
        <v>0.7</v>
      </c>
      <c r="C16" t="n">
        <v>0.5</v>
      </c>
      <c r="D16" t="n">
        <v>1005</v>
      </c>
      <c r="E16" s="4" t="n">
        <v>57.11266666666666</v>
      </c>
      <c r="F16" s="4" t="n">
        <v>729.1126666666667</v>
      </c>
    </row>
    <row r="17">
      <c r="A17" t="n">
        <v>50</v>
      </c>
      <c r="B17" t="n">
        <v>0.8</v>
      </c>
      <c r="C17" t="n">
        <v>0.1</v>
      </c>
      <c r="D17" t="n">
        <v>1001</v>
      </c>
      <c r="E17" s="4" t="n">
        <v>99.69800000000008</v>
      </c>
      <c r="F17" s="4" t="n">
        <v>771.6980000000001</v>
      </c>
    </row>
    <row r="18">
      <c r="A18" t="n">
        <v>50</v>
      </c>
      <c r="B18" t="n">
        <v>0.8</v>
      </c>
      <c r="C18" t="n">
        <v>0.1</v>
      </c>
      <c r="D18" t="n">
        <v>1002</v>
      </c>
      <c r="E18" s="4" t="n">
        <v>43.22233333333338</v>
      </c>
      <c r="F18" s="4" t="n">
        <v>715.2223333333334</v>
      </c>
    </row>
    <row r="19">
      <c r="A19" t="n">
        <v>50</v>
      </c>
      <c r="B19" t="n">
        <v>0.8</v>
      </c>
      <c r="C19" t="n">
        <v>0.1</v>
      </c>
      <c r="D19" t="n">
        <v>1003</v>
      </c>
      <c r="E19" s="4" t="n">
        <v>90.05016666666688</v>
      </c>
      <c r="F19" s="4" t="n">
        <v>762.0501666666669</v>
      </c>
    </row>
    <row r="20">
      <c r="A20" t="n">
        <v>50</v>
      </c>
      <c r="B20" t="n">
        <v>0.8</v>
      </c>
      <c r="C20" t="n">
        <v>0.1</v>
      </c>
      <c r="D20" t="n">
        <v>1004</v>
      </c>
      <c r="E20" s="4" t="n">
        <v>62.65233333333356</v>
      </c>
      <c r="F20" s="4" t="n">
        <v>734.6523333333336</v>
      </c>
    </row>
    <row r="21">
      <c r="A21" t="n">
        <v>50</v>
      </c>
      <c r="B21" t="n">
        <v>0.8</v>
      </c>
      <c r="C21" t="n">
        <v>0.1</v>
      </c>
      <c r="D21" t="n">
        <v>1005</v>
      </c>
      <c r="E21" s="4" t="n">
        <v>71.78949999999998</v>
      </c>
      <c r="F21" s="4" t="n">
        <v>743.7895</v>
      </c>
    </row>
    <row r="22">
      <c r="A22" t="n">
        <v>50</v>
      </c>
      <c r="B22" t="n">
        <v>0.8</v>
      </c>
      <c r="C22" t="n">
        <v>0.3</v>
      </c>
      <c r="D22" t="n">
        <v>1001</v>
      </c>
      <c r="E22" s="4" t="n">
        <v>78.21450000000004</v>
      </c>
      <c r="F22" s="4" t="n">
        <v>750.2145</v>
      </c>
    </row>
    <row r="23">
      <c r="A23" t="n">
        <v>50</v>
      </c>
      <c r="B23" t="n">
        <v>0.8</v>
      </c>
      <c r="C23" t="n">
        <v>0.3</v>
      </c>
      <c r="D23" t="n">
        <v>1002</v>
      </c>
      <c r="E23" s="4" t="n">
        <v>5.072833333333392</v>
      </c>
      <c r="F23" s="4" t="n">
        <v>677.0728333333334</v>
      </c>
    </row>
    <row r="24">
      <c r="A24" t="n">
        <v>50</v>
      </c>
      <c r="B24" t="n">
        <v>0.8</v>
      </c>
      <c r="C24" t="n">
        <v>0.3</v>
      </c>
      <c r="D24" t="n">
        <v>1003</v>
      </c>
      <c r="E24" s="4" t="n">
        <v>55.69100000000003</v>
      </c>
      <c r="F24" s="4" t="n">
        <v>727.691</v>
      </c>
    </row>
    <row r="25">
      <c r="A25" t="n">
        <v>50</v>
      </c>
      <c r="B25" t="n">
        <v>0.8</v>
      </c>
      <c r="C25" t="n">
        <v>0.3</v>
      </c>
      <c r="D25" t="n">
        <v>1004</v>
      </c>
      <c r="E25" s="4" t="n">
        <v>88.73033333333319</v>
      </c>
      <c r="F25" s="4" t="n">
        <v>760.7303333333332</v>
      </c>
    </row>
    <row r="26">
      <c r="A26" t="n">
        <v>50</v>
      </c>
      <c r="B26" t="n">
        <v>0.8</v>
      </c>
      <c r="C26" t="n">
        <v>0.3</v>
      </c>
      <c r="D26" t="n">
        <v>1005</v>
      </c>
      <c r="E26" s="4" t="n">
        <v>0</v>
      </c>
      <c r="F26" s="4" t="n">
        <v>671.7409999999999</v>
      </c>
    </row>
    <row r="27">
      <c r="A27" t="n">
        <v>50</v>
      </c>
      <c r="B27" t="n">
        <v>0.8</v>
      </c>
      <c r="C27" t="n">
        <v>0.5</v>
      </c>
      <c r="D27" t="n">
        <v>1001</v>
      </c>
      <c r="E27" s="4" t="n">
        <v>58.50933333333342</v>
      </c>
      <c r="F27" s="4" t="n">
        <v>730.5093333333334</v>
      </c>
    </row>
    <row r="28">
      <c r="A28" t="n">
        <v>50</v>
      </c>
      <c r="B28" t="n">
        <v>0.8</v>
      </c>
      <c r="C28" t="n">
        <v>0.5</v>
      </c>
      <c r="D28" t="n">
        <v>1002</v>
      </c>
      <c r="E28" s="4" t="n">
        <v>0</v>
      </c>
      <c r="F28" s="4" t="n">
        <v>655.7118333333335</v>
      </c>
    </row>
    <row r="29">
      <c r="A29" t="n">
        <v>50</v>
      </c>
      <c r="B29" t="n">
        <v>0.8</v>
      </c>
      <c r="C29" t="n">
        <v>0.5</v>
      </c>
      <c r="D29" t="n">
        <v>1003</v>
      </c>
      <c r="E29" s="4" t="n">
        <v>103.2705000000001</v>
      </c>
      <c r="F29" s="4" t="n">
        <v>775.2705000000001</v>
      </c>
    </row>
    <row r="30">
      <c r="A30" t="n">
        <v>50</v>
      </c>
      <c r="B30" t="n">
        <v>0.8</v>
      </c>
      <c r="C30" t="n">
        <v>0.5</v>
      </c>
      <c r="D30" t="n">
        <v>1004</v>
      </c>
      <c r="E30" s="4" t="n">
        <v>8.242999999999938</v>
      </c>
      <c r="F30" s="4" t="n">
        <v>680.2429999999999</v>
      </c>
    </row>
    <row r="31">
      <c r="A31" t="n">
        <v>50</v>
      </c>
      <c r="B31" t="n">
        <v>0.8</v>
      </c>
      <c r="C31" t="n">
        <v>0.5</v>
      </c>
      <c r="D31" t="n">
        <v>1005</v>
      </c>
      <c r="E31" s="4" t="n">
        <v>3.957000000000221</v>
      </c>
      <c r="F31" s="4" t="n">
        <v>675.9570000000002</v>
      </c>
    </row>
    <row r="32">
      <c r="A32" t="n">
        <v>50</v>
      </c>
      <c r="B32" t="n">
        <v>0.9</v>
      </c>
      <c r="C32" t="n">
        <v>0.1</v>
      </c>
      <c r="D32" t="n">
        <v>1001</v>
      </c>
      <c r="E32" s="4" t="n">
        <v>74.08850000000018</v>
      </c>
      <c r="F32" s="4" t="n">
        <v>746.0885000000002</v>
      </c>
    </row>
    <row r="33">
      <c r="A33" t="n">
        <v>50</v>
      </c>
      <c r="B33" t="n">
        <v>0.9</v>
      </c>
      <c r="C33" t="n">
        <v>0.1</v>
      </c>
      <c r="D33" t="n">
        <v>1002</v>
      </c>
      <c r="E33" s="4" t="n">
        <v>13.82783333333327</v>
      </c>
      <c r="F33" s="4" t="n">
        <v>685.8278333333333</v>
      </c>
    </row>
    <row r="34">
      <c r="A34" t="n">
        <v>50</v>
      </c>
      <c r="B34" t="n">
        <v>0.9</v>
      </c>
      <c r="C34" t="n">
        <v>0.1</v>
      </c>
      <c r="D34" t="n">
        <v>1003</v>
      </c>
      <c r="E34" s="4" t="n">
        <v>75.70133333333342</v>
      </c>
      <c r="F34" s="4" t="n">
        <v>747.7013333333334</v>
      </c>
    </row>
    <row r="35">
      <c r="A35" t="n">
        <v>50</v>
      </c>
      <c r="B35" t="n">
        <v>0.9</v>
      </c>
      <c r="C35" t="n">
        <v>0.1</v>
      </c>
      <c r="D35" t="n">
        <v>1004</v>
      </c>
      <c r="E35" s="4" t="n">
        <v>28.62316666666675</v>
      </c>
      <c r="F35" s="4" t="n">
        <v>700.6231666666667</v>
      </c>
    </row>
    <row r="36">
      <c r="A36" t="n">
        <v>50</v>
      </c>
      <c r="B36" t="n">
        <v>0.9</v>
      </c>
      <c r="C36" t="n">
        <v>0.1</v>
      </c>
      <c r="D36" t="n">
        <v>1005</v>
      </c>
      <c r="E36" s="4" t="n">
        <v>103.4066666666669</v>
      </c>
      <c r="F36" s="4" t="n">
        <v>775.4066666666669</v>
      </c>
    </row>
    <row r="37">
      <c r="A37" t="n">
        <v>50</v>
      </c>
      <c r="B37" t="n">
        <v>0.9</v>
      </c>
      <c r="C37" t="n">
        <v>0.3</v>
      </c>
      <c r="D37" t="n">
        <v>1001</v>
      </c>
      <c r="E37" s="4" t="n">
        <v>56.54050000000007</v>
      </c>
      <c r="F37" s="4" t="n">
        <v>728.5405000000001</v>
      </c>
    </row>
    <row r="38">
      <c r="A38" t="n">
        <v>50</v>
      </c>
      <c r="B38" t="n">
        <v>0.9</v>
      </c>
      <c r="C38" t="n">
        <v>0.3</v>
      </c>
      <c r="D38" t="n">
        <v>1002</v>
      </c>
      <c r="E38" s="4" t="n">
        <v>26.56516666666676</v>
      </c>
      <c r="F38" s="4" t="n">
        <v>698.5651666666668</v>
      </c>
    </row>
    <row r="39">
      <c r="A39" t="n">
        <v>50</v>
      </c>
      <c r="B39" t="n">
        <v>0.9</v>
      </c>
      <c r="C39" t="n">
        <v>0.3</v>
      </c>
      <c r="D39" t="n">
        <v>1003</v>
      </c>
      <c r="E39" s="4" t="n">
        <v>62.97733333333338</v>
      </c>
      <c r="F39" s="4" t="n">
        <v>734.9773333333334</v>
      </c>
    </row>
    <row r="40">
      <c r="A40" t="n">
        <v>50</v>
      </c>
      <c r="B40" t="n">
        <v>0.9</v>
      </c>
      <c r="C40" t="n">
        <v>0.3</v>
      </c>
      <c r="D40" t="n">
        <v>1004</v>
      </c>
      <c r="E40" s="4" t="n">
        <v>78.72766666666689</v>
      </c>
      <c r="F40" s="4" t="n">
        <v>750.7276666666669</v>
      </c>
    </row>
    <row r="41">
      <c r="A41" t="n">
        <v>50</v>
      </c>
      <c r="B41" t="n">
        <v>0.9</v>
      </c>
      <c r="C41" t="n">
        <v>0.3</v>
      </c>
      <c r="D41" t="n">
        <v>1005</v>
      </c>
      <c r="E41" s="4" t="n">
        <v>73.04983333333348</v>
      </c>
      <c r="F41" s="4" t="n">
        <v>745.0498333333335</v>
      </c>
    </row>
    <row r="42">
      <c r="A42" t="n">
        <v>50</v>
      </c>
      <c r="B42" t="n">
        <v>0.9</v>
      </c>
      <c r="C42" t="n">
        <v>0.5</v>
      </c>
      <c r="D42" t="n">
        <v>1001</v>
      </c>
      <c r="E42" s="4" t="n">
        <v>25.45050000000015</v>
      </c>
      <c r="F42" s="4" t="n">
        <v>697.4505000000001</v>
      </c>
    </row>
    <row r="43">
      <c r="A43" t="n">
        <v>50</v>
      </c>
      <c r="B43" t="n">
        <v>0.9</v>
      </c>
      <c r="C43" t="n">
        <v>0.5</v>
      </c>
      <c r="D43" t="n">
        <v>1002</v>
      </c>
      <c r="E43" s="4" t="n">
        <v>34.58649999999989</v>
      </c>
      <c r="F43" s="4" t="n">
        <v>706.5864999999999</v>
      </c>
    </row>
    <row r="44">
      <c r="A44" t="n">
        <v>50</v>
      </c>
      <c r="B44" t="n">
        <v>0.9</v>
      </c>
      <c r="C44" t="n">
        <v>0.5</v>
      </c>
      <c r="D44" t="n">
        <v>1003</v>
      </c>
      <c r="E44" s="4" t="n">
        <v>19.68583333333356</v>
      </c>
      <c r="F44" s="4" t="n">
        <v>691.6858333333336</v>
      </c>
    </row>
    <row r="45">
      <c r="A45" t="n">
        <v>50</v>
      </c>
      <c r="B45" t="n">
        <v>0.9</v>
      </c>
      <c r="C45" t="n">
        <v>0.5</v>
      </c>
      <c r="D45" t="n">
        <v>1004</v>
      </c>
      <c r="E45" s="4" t="n">
        <v>31.34533333333377</v>
      </c>
      <c r="F45" s="4" t="n">
        <v>703.3453333333338</v>
      </c>
    </row>
    <row r="46">
      <c r="A46" t="n">
        <v>50</v>
      </c>
      <c r="B46" t="n">
        <v>0.9</v>
      </c>
      <c r="C46" t="n">
        <v>0.5</v>
      </c>
      <c r="D46" t="n">
        <v>1005</v>
      </c>
      <c r="E46" s="4" t="n">
        <v>0</v>
      </c>
      <c r="F46" s="4" t="n">
        <v>661.8145000000002</v>
      </c>
    </row>
    <row r="47">
      <c r="A47" t="n">
        <v>100</v>
      </c>
      <c r="B47" t="n">
        <v>0.7</v>
      </c>
      <c r="C47" t="n">
        <v>0.1</v>
      </c>
      <c r="D47" t="n">
        <v>1001</v>
      </c>
      <c r="E47" s="4" t="n">
        <v>5.461500000000115</v>
      </c>
      <c r="F47" s="4" t="n">
        <v>677.4615000000001</v>
      </c>
    </row>
    <row r="48">
      <c r="A48" t="n">
        <v>100</v>
      </c>
      <c r="B48" t="n">
        <v>0.7</v>
      </c>
      <c r="C48" t="n">
        <v>0.1</v>
      </c>
      <c r="D48" t="n">
        <v>1002</v>
      </c>
      <c r="E48" s="4" t="n">
        <v>58.56316666666692</v>
      </c>
      <c r="F48" s="4" t="n">
        <v>730.5631666666669</v>
      </c>
    </row>
    <row r="49">
      <c r="A49" t="n">
        <v>100</v>
      </c>
      <c r="B49" t="n">
        <v>0.7</v>
      </c>
      <c r="C49" t="n">
        <v>0.1</v>
      </c>
      <c r="D49" t="n">
        <v>1003</v>
      </c>
      <c r="E49" s="4" t="n">
        <v>46.66500000000031</v>
      </c>
      <c r="F49" s="4" t="n">
        <v>718.6650000000003</v>
      </c>
    </row>
    <row r="50">
      <c r="A50" t="n">
        <v>100</v>
      </c>
      <c r="B50" t="n">
        <v>0.7</v>
      </c>
      <c r="C50" t="n">
        <v>0.1</v>
      </c>
      <c r="D50" t="n">
        <v>1004</v>
      </c>
      <c r="E50" s="4" t="n">
        <v>62.39850000000001</v>
      </c>
      <c r="F50" s="4" t="n">
        <v>734.3985</v>
      </c>
    </row>
    <row r="51">
      <c r="A51" t="n">
        <v>100</v>
      </c>
      <c r="B51" t="n">
        <v>0.7</v>
      </c>
      <c r="C51" t="n">
        <v>0.1</v>
      </c>
      <c r="D51" t="n">
        <v>1005</v>
      </c>
      <c r="E51" s="4" t="n">
        <v>61.21333333333348</v>
      </c>
      <c r="F51" s="4" t="n">
        <v>733.2133333333335</v>
      </c>
    </row>
    <row r="52">
      <c r="A52" t="n">
        <v>100</v>
      </c>
      <c r="B52" t="n">
        <v>0.7</v>
      </c>
      <c r="C52" t="n">
        <v>0.3</v>
      </c>
      <c r="D52" t="n">
        <v>1001</v>
      </c>
      <c r="E52" s="4" t="n">
        <v>73.14866666666683</v>
      </c>
      <c r="F52" s="4" t="n">
        <v>745.1486666666668</v>
      </c>
    </row>
    <row r="53">
      <c r="A53" t="n">
        <v>100</v>
      </c>
      <c r="B53" t="n">
        <v>0.7</v>
      </c>
      <c r="C53" t="n">
        <v>0.3</v>
      </c>
      <c r="D53" t="n">
        <v>1002</v>
      </c>
      <c r="E53" s="4" t="n">
        <v>42.1586666666667</v>
      </c>
      <c r="F53" s="4" t="n">
        <v>714.1586666666667</v>
      </c>
    </row>
    <row r="54">
      <c r="A54" t="n">
        <v>100</v>
      </c>
      <c r="B54" t="n">
        <v>0.7</v>
      </c>
      <c r="C54" t="n">
        <v>0.3</v>
      </c>
      <c r="D54" t="n">
        <v>1003</v>
      </c>
      <c r="E54" s="4" t="n">
        <v>49.83766666666691</v>
      </c>
      <c r="F54" s="4" t="n">
        <v>721.8376666666669</v>
      </c>
    </row>
    <row r="55">
      <c r="A55" t="n">
        <v>100</v>
      </c>
      <c r="B55" t="n">
        <v>0.7</v>
      </c>
      <c r="C55" t="n">
        <v>0.3</v>
      </c>
      <c r="D55" t="n">
        <v>1004</v>
      </c>
      <c r="E55" s="4" t="n">
        <v>48.25966666666659</v>
      </c>
      <c r="F55" s="4" t="n">
        <v>720.2596666666666</v>
      </c>
    </row>
    <row r="56">
      <c r="A56" t="n">
        <v>100</v>
      </c>
      <c r="B56" t="n">
        <v>0.7</v>
      </c>
      <c r="C56" t="n">
        <v>0.3</v>
      </c>
      <c r="D56" t="n">
        <v>1005</v>
      </c>
      <c r="E56" s="4" t="n">
        <v>50.91216666666674</v>
      </c>
      <c r="F56" s="4" t="n">
        <v>722.9121666666667</v>
      </c>
    </row>
    <row r="57">
      <c r="A57" t="n">
        <v>100</v>
      </c>
      <c r="B57" t="n">
        <v>0.7</v>
      </c>
      <c r="C57" t="n">
        <v>0.5</v>
      </c>
      <c r="D57" t="n">
        <v>1001</v>
      </c>
      <c r="E57" s="4" t="n">
        <v>29.49816666666686</v>
      </c>
      <c r="F57" s="4" t="n">
        <v>701.4981666666669</v>
      </c>
    </row>
    <row r="58">
      <c r="A58" t="n">
        <v>100</v>
      </c>
      <c r="B58" t="n">
        <v>0.7</v>
      </c>
      <c r="C58" t="n">
        <v>0.5</v>
      </c>
      <c r="D58" t="n">
        <v>1002</v>
      </c>
      <c r="E58" s="4" t="n">
        <v>0</v>
      </c>
      <c r="F58" s="4" t="n">
        <v>644.4051666666669</v>
      </c>
    </row>
    <row r="59">
      <c r="A59" t="n">
        <v>100</v>
      </c>
      <c r="B59" t="n">
        <v>0.7</v>
      </c>
      <c r="C59" t="n">
        <v>0.5</v>
      </c>
      <c r="D59" t="n">
        <v>1003</v>
      </c>
      <c r="E59" s="4" t="n">
        <v>0</v>
      </c>
      <c r="F59" s="4" t="n">
        <v>667.0963333333335</v>
      </c>
    </row>
    <row r="60">
      <c r="A60" t="n">
        <v>100</v>
      </c>
      <c r="B60" t="n">
        <v>0.7</v>
      </c>
      <c r="C60" t="n">
        <v>0.5</v>
      </c>
      <c r="D60" t="n">
        <v>1004</v>
      </c>
      <c r="E60" s="4" t="n">
        <v>53.06183333333343</v>
      </c>
      <c r="F60" s="4" t="n">
        <v>725.0618333333334</v>
      </c>
    </row>
    <row r="61">
      <c r="A61" t="n">
        <v>100</v>
      </c>
      <c r="B61" t="n">
        <v>0.7</v>
      </c>
      <c r="C61" t="n">
        <v>0.5</v>
      </c>
      <c r="D61" t="n">
        <v>1005</v>
      </c>
      <c r="E61" s="4" t="n">
        <v>9.206500000000004</v>
      </c>
      <c r="F61" s="4" t="n">
        <v>681.2065</v>
      </c>
    </row>
    <row r="62">
      <c r="A62" t="n">
        <v>100</v>
      </c>
      <c r="B62" t="n">
        <v>0.8</v>
      </c>
      <c r="C62" t="n">
        <v>0.1</v>
      </c>
      <c r="D62" t="n">
        <v>1001</v>
      </c>
      <c r="E62" s="4" t="n">
        <v>7.879333333333307</v>
      </c>
      <c r="F62" s="4" t="n">
        <v>679.8793333333333</v>
      </c>
    </row>
    <row r="63">
      <c r="A63" t="n">
        <v>100</v>
      </c>
      <c r="B63" t="n">
        <v>0.8</v>
      </c>
      <c r="C63" t="n">
        <v>0.1</v>
      </c>
      <c r="D63" t="n">
        <v>1002</v>
      </c>
      <c r="E63" s="4" t="n">
        <v>51.75900000000013</v>
      </c>
      <c r="F63" s="4" t="n">
        <v>723.7590000000001</v>
      </c>
    </row>
    <row r="64">
      <c r="A64" t="n">
        <v>100</v>
      </c>
      <c r="B64" t="n">
        <v>0.8</v>
      </c>
      <c r="C64" t="n">
        <v>0.1</v>
      </c>
      <c r="D64" t="n">
        <v>1003</v>
      </c>
      <c r="E64" s="4" t="n">
        <v>55.13033333333362</v>
      </c>
      <c r="F64" s="4" t="n">
        <v>727.1303333333336</v>
      </c>
    </row>
    <row r="65">
      <c r="A65" t="n">
        <v>100</v>
      </c>
      <c r="B65" t="n">
        <v>0.8</v>
      </c>
      <c r="C65" t="n">
        <v>0.1</v>
      </c>
      <c r="D65" t="n">
        <v>1004</v>
      </c>
      <c r="E65" s="4" t="n">
        <v>66.99933333333342</v>
      </c>
      <c r="F65" s="4" t="n">
        <v>738.9993333333334</v>
      </c>
    </row>
    <row r="66">
      <c r="A66" t="n">
        <v>100</v>
      </c>
      <c r="B66" t="n">
        <v>0.8</v>
      </c>
      <c r="C66" t="n">
        <v>0.1</v>
      </c>
      <c r="D66" t="n">
        <v>1005</v>
      </c>
      <c r="E66" s="4" t="n">
        <v>6.434499999999957</v>
      </c>
      <c r="F66" s="4" t="n">
        <v>678.4345</v>
      </c>
    </row>
    <row r="67">
      <c r="A67" t="n">
        <v>100</v>
      </c>
      <c r="B67" t="n">
        <v>0.8</v>
      </c>
      <c r="C67" t="n">
        <v>0.3</v>
      </c>
      <c r="D67" t="n">
        <v>1001</v>
      </c>
      <c r="E67" s="4" t="n">
        <v>0</v>
      </c>
      <c r="F67" s="4" t="n">
        <v>656.7788333333335</v>
      </c>
    </row>
    <row r="68">
      <c r="A68" t="n">
        <v>100</v>
      </c>
      <c r="B68" t="n">
        <v>0.8</v>
      </c>
      <c r="C68" t="n">
        <v>0.3</v>
      </c>
      <c r="D68" t="n">
        <v>1002</v>
      </c>
      <c r="E68" s="4" t="n">
        <v>75.48066666666682</v>
      </c>
      <c r="F68" s="4" t="n">
        <v>747.4806666666668</v>
      </c>
    </row>
    <row r="69">
      <c r="A69" t="n">
        <v>100</v>
      </c>
      <c r="B69" t="n">
        <v>0.8</v>
      </c>
      <c r="C69" t="n">
        <v>0.3</v>
      </c>
      <c r="D69" t="n">
        <v>1003</v>
      </c>
      <c r="E69" s="4" t="n">
        <v>0</v>
      </c>
      <c r="F69" s="4" t="n">
        <v>663.7696666666668</v>
      </c>
    </row>
    <row r="70">
      <c r="A70" t="n">
        <v>100</v>
      </c>
      <c r="B70" t="n">
        <v>0.8</v>
      </c>
      <c r="C70" t="n">
        <v>0.3</v>
      </c>
      <c r="D70" t="n">
        <v>1004</v>
      </c>
      <c r="E70" s="4" t="n">
        <v>58.04233333333343</v>
      </c>
      <c r="F70" s="4" t="n">
        <v>730.0423333333334</v>
      </c>
    </row>
    <row r="71">
      <c r="A71" t="n">
        <v>100</v>
      </c>
      <c r="B71" t="n">
        <v>0.8</v>
      </c>
      <c r="C71" t="n">
        <v>0.3</v>
      </c>
      <c r="D71" t="n">
        <v>1005</v>
      </c>
      <c r="E71" s="4" t="n">
        <v>19.84283333333337</v>
      </c>
      <c r="F71" s="4" t="n">
        <v>691.8428333333334</v>
      </c>
    </row>
    <row r="72">
      <c r="A72" t="n">
        <v>100</v>
      </c>
      <c r="B72" t="n">
        <v>0.8</v>
      </c>
      <c r="C72" t="n">
        <v>0.5</v>
      </c>
      <c r="D72" t="n">
        <v>1001</v>
      </c>
      <c r="E72" s="4" t="n">
        <v>0</v>
      </c>
      <c r="F72" s="4" t="n">
        <v>633.3760000000003</v>
      </c>
    </row>
    <row r="73">
      <c r="A73" t="n">
        <v>100</v>
      </c>
      <c r="B73" t="n">
        <v>0.8</v>
      </c>
      <c r="C73" t="n">
        <v>0.5</v>
      </c>
      <c r="D73" t="n">
        <v>1002</v>
      </c>
      <c r="E73" s="4" t="n">
        <v>78.73966666666684</v>
      </c>
      <c r="F73" s="4" t="n">
        <v>750.7396666666668</v>
      </c>
    </row>
    <row r="74">
      <c r="A74" t="n">
        <v>100</v>
      </c>
      <c r="B74" t="n">
        <v>0.8</v>
      </c>
      <c r="C74" t="n">
        <v>0.5</v>
      </c>
      <c r="D74" t="n">
        <v>1003</v>
      </c>
      <c r="E74" s="4" t="n">
        <v>41.42333333333318</v>
      </c>
      <c r="F74" s="4" t="n">
        <v>713.4233333333332</v>
      </c>
    </row>
    <row r="75">
      <c r="A75" t="n">
        <v>100</v>
      </c>
      <c r="B75" t="n">
        <v>0.8</v>
      </c>
      <c r="C75" t="n">
        <v>0.5</v>
      </c>
      <c r="D75" t="n">
        <v>1004</v>
      </c>
      <c r="E75" s="4" t="n">
        <v>27.63550000000021</v>
      </c>
      <c r="F75" s="4" t="n">
        <v>699.6355000000002</v>
      </c>
    </row>
    <row r="76">
      <c r="A76" t="n">
        <v>100</v>
      </c>
      <c r="B76" t="n">
        <v>0.8</v>
      </c>
      <c r="C76" t="n">
        <v>0.5</v>
      </c>
      <c r="D76" t="n">
        <v>1005</v>
      </c>
      <c r="E76" s="4" t="n">
        <v>0</v>
      </c>
      <c r="F76" s="4" t="n">
        <v>653.1473333333334</v>
      </c>
    </row>
    <row r="77">
      <c r="A77" t="n">
        <v>100</v>
      </c>
      <c r="B77" t="n">
        <v>0.9</v>
      </c>
      <c r="C77" t="n">
        <v>0.1</v>
      </c>
      <c r="D77" t="n">
        <v>1001</v>
      </c>
      <c r="E77" s="4" t="n">
        <v>32.36800000000017</v>
      </c>
      <c r="F77" s="4" t="n">
        <v>704.3680000000002</v>
      </c>
    </row>
    <row r="78">
      <c r="A78" t="n">
        <v>100</v>
      </c>
      <c r="B78" t="n">
        <v>0.9</v>
      </c>
      <c r="C78" t="n">
        <v>0.1</v>
      </c>
      <c r="D78" t="n">
        <v>1002</v>
      </c>
      <c r="E78" s="4" t="n">
        <v>46.67250000000001</v>
      </c>
      <c r="F78" s="4" t="n">
        <v>718.6725</v>
      </c>
    </row>
    <row r="79">
      <c r="A79" t="n">
        <v>100</v>
      </c>
      <c r="B79" t="n">
        <v>0.9</v>
      </c>
      <c r="C79" t="n">
        <v>0.1</v>
      </c>
      <c r="D79" t="n">
        <v>1003</v>
      </c>
      <c r="E79" s="4" t="n">
        <v>0</v>
      </c>
      <c r="F79" s="4" t="n">
        <v>666.2701666666668</v>
      </c>
    </row>
    <row r="80">
      <c r="A80" t="n">
        <v>100</v>
      </c>
      <c r="B80" t="n">
        <v>0.9</v>
      </c>
      <c r="C80" t="n">
        <v>0.1</v>
      </c>
      <c r="D80" t="n">
        <v>1004</v>
      </c>
      <c r="E80" s="4" t="n">
        <v>64.75133333333349</v>
      </c>
      <c r="F80" s="4" t="n">
        <v>736.7513333333335</v>
      </c>
    </row>
    <row r="81">
      <c r="A81" t="n">
        <v>100</v>
      </c>
      <c r="B81" t="n">
        <v>0.9</v>
      </c>
      <c r="C81" t="n">
        <v>0.1</v>
      </c>
      <c r="D81" t="n">
        <v>1005</v>
      </c>
      <c r="E81" s="4" t="n">
        <v>4.662333333333322</v>
      </c>
      <c r="F81" s="4" t="n">
        <v>676.6623333333333</v>
      </c>
    </row>
    <row r="82">
      <c r="A82" t="n">
        <v>100</v>
      </c>
      <c r="B82" t="n">
        <v>0.9</v>
      </c>
      <c r="C82" t="n">
        <v>0.3</v>
      </c>
      <c r="D82" t="n">
        <v>1001</v>
      </c>
      <c r="E82" s="4" t="n">
        <v>9.10450000000003</v>
      </c>
      <c r="F82" s="4" t="n">
        <v>681.1045</v>
      </c>
    </row>
    <row r="83">
      <c r="A83" t="n">
        <v>100</v>
      </c>
      <c r="B83" t="n">
        <v>0.9</v>
      </c>
      <c r="C83" t="n">
        <v>0.3</v>
      </c>
      <c r="D83" t="n">
        <v>1002</v>
      </c>
      <c r="E83" s="4" t="n">
        <v>0</v>
      </c>
      <c r="F83" s="4" t="n">
        <v>628.8715000000002</v>
      </c>
    </row>
    <row r="84">
      <c r="A84" t="n">
        <v>100</v>
      </c>
      <c r="B84" t="n">
        <v>0.9</v>
      </c>
      <c r="C84" t="n">
        <v>0.3</v>
      </c>
      <c r="D84" t="n">
        <v>1003</v>
      </c>
      <c r="E84" s="4" t="n">
        <v>0</v>
      </c>
      <c r="F84" s="4" t="n">
        <v>639.6940000000002</v>
      </c>
    </row>
    <row r="85">
      <c r="A85" t="n">
        <v>100</v>
      </c>
      <c r="B85" t="n">
        <v>0.9</v>
      </c>
      <c r="C85" t="n">
        <v>0.3</v>
      </c>
      <c r="D85" t="n">
        <v>1004</v>
      </c>
      <c r="E85" s="4" t="n">
        <v>0</v>
      </c>
      <c r="F85" s="4" t="n">
        <v>664.0170000000002</v>
      </c>
    </row>
    <row r="86">
      <c r="A86" t="n">
        <v>100</v>
      </c>
      <c r="B86" t="n">
        <v>0.9</v>
      </c>
      <c r="C86" t="n">
        <v>0.3</v>
      </c>
      <c r="D86" t="n">
        <v>1005</v>
      </c>
      <c r="E86" s="4" t="n">
        <v>0</v>
      </c>
      <c r="F86" s="4" t="n">
        <v>644.1613333333336</v>
      </c>
    </row>
    <row r="87">
      <c r="A87" t="n">
        <v>100</v>
      </c>
      <c r="B87" t="n">
        <v>0.9</v>
      </c>
      <c r="C87" t="n">
        <v>0.5</v>
      </c>
      <c r="D87" t="n">
        <v>1001</v>
      </c>
      <c r="E87" s="4" t="n">
        <v>0</v>
      </c>
      <c r="F87" s="4" t="n">
        <v>665.7160000000001</v>
      </c>
    </row>
    <row r="88">
      <c r="A88" t="n">
        <v>100</v>
      </c>
      <c r="B88" t="n">
        <v>0.9</v>
      </c>
      <c r="C88" t="n">
        <v>0.5</v>
      </c>
      <c r="D88" t="n">
        <v>1002</v>
      </c>
      <c r="E88" s="4" t="n">
        <v>1.861333333333618</v>
      </c>
      <c r="F88" s="4" t="n">
        <v>673.8613333333336</v>
      </c>
    </row>
    <row r="89">
      <c r="A89" t="n">
        <v>100</v>
      </c>
      <c r="B89" t="n">
        <v>0.9</v>
      </c>
      <c r="C89" t="n">
        <v>0.5</v>
      </c>
      <c r="D89" t="n">
        <v>1003</v>
      </c>
      <c r="E89" s="4" t="n">
        <v>35.947</v>
      </c>
      <c r="F89" s="4" t="n">
        <v>707.947</v>
      </c>
    </row>
    <row r="90">
      <c r="A90" t="n">
        <v>100</v>
      </c>
      <c r="B90" t="n">
        <v>0.9</v>
      </c>
      <c r="C90" t="n">
        <v>0.5</v>
      </c>
      <c r="D90" t="n">
        <v>1004</v>
      </c>
      <c r="E90" s="4" t="n">
        <v>0.8888333333335368</v>
      </c>
      <c r="F90" s="4" t="n">
        <v>672.8888333333335</v>
      </c>
    </row>
    <row r="91">
      <c r="A91" t="n">
        <v>100</v>
      </c>
      <c r="B91" t="n">
        <v>0.9</v>
      </c>
      <c r="C91" t="n">
        <v>0.5</v>
      </c>
      <c r="D91" t="n">
        <v>1005</v>
      </c>
      <c r="E91" s="4" t="n">
        <v>15.59400000000016</v>
      </c>
      <c r="F91" s="4" t="n">
        <v>687.5940000000002</v>
      </c>
    </row>
    <row r="92">
      <c r="A92" t="n">
        <v>150</v>
      </c>
      <c r="B92" t="n">
        <v>0.7</v>
      </c>
      <c r="C92" t="n">
        <v>0.1</v>
      </c>
      <c r="D92" t="n">
        <v>1001</v>
      </c>
      <c r="E92" s="4" t="n">
        <v>45.11999999999989</v>
      </c>
      <c r="F92" s="4" t="n">
        <v>717.1199999999999</v>
      </c>
    </row>
    <row r="93">
      <c r="A93" t="n">
        <v>150</v>
      </c>
      <c r="B93" t="n">
        <v>0.7</v>
      </c>
      <c r="C93" t="n">
        <v>0.1</v>
      </c>
      <c r="D93" t="n">
        <v>1002</v>
      </c>
      <c r="E93" s="4" t="n">
        <v>5.699000000000183</v>
      </c>
      <c r="F93" s="4" t="n">
        <v>677.6990000000002</v>
      </c>
    </row>
    <row r="94">
      <c r="A94" t="n">
        <v>150</v>
      </c>
      <c r="B94" t="n">
        <v>0.7</v>
      </c>
      <c r="C94" t="n">
        <v>0.1</v>
      </c>
      <c r="D94" t="n">
        <v>1003</v>
      </c>
      <c r="E94" s="4" t="n">
        <v>20.46850000000006</v>
      </c>
      <c r="F94" s="4" t="n">
        <v>692.4685000000001</v>
      </c>
    </row>
    <row r="95">
      <c r="A95" t="n">
        <v>150</v>
      </c>
      <c r="B95" t="n">
        <v>0.7</v>
      </c>
      <c r="C95" t="n">
        <v>0.1</v>
      </c>
      <c r="D95" t="n">
        <v>1004</v>
      </c>
      <c r="E95" s="4" t="n">
        <v>2.112666666666769</v>
      </c>
      <c r="F95" s="4" t="n">
        <v>674.1126666666668</v>
      </c>
    </row>
    <row r="96">
      <c r="A96" t="n">
        <v>150</v>
      </c>
      <c r="B96" t="n">
        <v>0.7</v>
      </c>
      <c r="C96" t="n">
        <v>0.1</v>
      </c>
      <c r="D96" t="n">
        <v>1005</v>
      </c>
      <c r="E96" s="4" t="n">
        <v>0</v>
      </c>
      <c r="F96" s="4" t="n">
        <v>654.1558333333336</v>
      </c>
    </row>
    <row r="97">
      <c r="A97" t="n">
        <v>150</v>
      </c>
      <c r="B97" t="n">
        <v>0.7</v>
      </c>
      <c r="C97" t="n">
        <v>0.3</v>
      </c>
      <c r="D97" t="n">
        <v>1001</v>
      </c>
      <c r="E97" s="4" t="n">
        <v>0</v>
      </c>
      <c r="F97" s="4" t="n">
        <v>663.175666666667</v>
      </c>
    </row>
    <row r="98">
      <c r="A98" t="n">
        <v>150</v>
      </c>
      <c r="B98" t="n">
        <v>0.7</v>
      </c>
      <c r="C98" t="n">
        <v>0.3</v>
      </c>
      <c r="D98" t="n">
        <v>1002</v>
      </c>
      <c r="E98" s="4" t="n">
        <v>0</v>
      </c>
      <c r="F98" s="4" t="n">
        <v>663.3178333333336</v>
      </c>
    </row>
    <row r="99">
      <c r="A99" t="n">
        <v>150</v>
      </c>
      <c r="B99" t="n">
        <v>0.7</v>
      </c>
      <c r="C99" t="n">
        <v>0.3</v>
      </c>
      <c r="D99" t="n">
        <v>1003</v>
      </c>
      <c r="E99" s="4" t="n">
        <v>21.40033333333338</v>
      </c>
      <c r="F99" s="4" t="n">
        <v>693.4003333333334</v>
      </c>
    </row>
    <row r="100">
      <c r="A100" t="n">
        <v>150</v>
      </c>
      <c r="B100" t="n">
        <v>0.7</v>
      </c>
      <c r="C100" t="n">
        <v>0.3</v>
      </c>
      <c r="D100" t="n">
        <v>1004</v>
      </c>
      <c r="E100" s="4" t="n">
        <v>29.77800000000013</v>
      </c>
      <c r="F100" s="4" t="n">
        <v>701.7780000000001</v>
      </c>
    </row>
    <row r="101">
      <c r="A101" t="n">
        <v>150</v>
      </c>
      <c r="B101" t="n">
        <v>0.7</v>
      </c>
      <c r="C101" t="n">
        <v>0.3</v>
      </c>
      <c r="D101" t="n">
        <v>1005</v>
      </c>
      <c r="E101" s="4" t="n">
        <v>52.77066666666678</v>
      </c>
      <c r="F101" s="4" t="n">
        <v>724.7706666666668</v>
      </c>
    </row>
    <row r="102">
      <c r="A102" t="n">
        <v>150</v>
      </c>
      <c r="B102" t="n">
        <v>0.7</v>
      </c>
      <c r="C102" t="n">
        <v>0.5</v>
      </c>
      <c r="D102" t="n">
        <v>1001</v>
      </c>
      <c r="E102" s="4" t="n">
        <v>0</v>
      </c>
      <c r="F102" s="4" t="n">
        <v>668.9308333333333</v>
      </c>
    </row>
    <row r="103">
      <c r="A103" t="n">
        <v>150</v>
      </c>
      <c r="B103" t="n">
        <v>0.7</v>
      </c>
      <c r="C103" t="n">
        <v>0.5</v>
      </c>
      <c r="D103" t="n">
        <v>1002</v>
      </c>
      <c r="E103" s="4" t="n">
        <v>24.95850000000007</v>
      </c>
      <c r="F103" s="4" t="n">
        <v>696.9585000000001</v>
      </c>
    </row>
    <row r="104">
      <c r="A104" t="n">
        <v>150</v>
      </c>
      <c r="B104" t="n">
        <v>0.7</v>
      </c>
      <c r="C104" t="n">
        <v>0.5</v>
      </c>
      <c r="D104" t="n">
        <v>1003</v>
      </c>
      <c r="E104" s="4" t="n">
        <v>33.5925000000002</v>
      </c>
      <c r="F104" s="4" t="n">
        <v>705.5925000000002</v>
      </c>
    </row>
    <row r="105">
      <c r="A105" t="n">
        <v>150</v>
      </c>
      <c r="B105" t="n">
        <v>0.7</v>
      </c>
      <c r="C105" t="n">
        <v>0.5</v>
      </c>
      <c r="D105" t="n">
        <v>1004</v>
      </c>
      <c r="E105" s="4" t="n">
        <v>0</v>
      </c>
      <c r="F105" s="4" t="n">
        <v>671.4253333333336</v>
      </c>
    </row>
    <row r="106">
      <c r="A106" t="n">
        <v>150</v>
      </c>
      <c r="B106" t="n">
        <v>0.7</v>
      </c>
      <c r="C106" t="n">
        <v>0.5</v>
      </c>
      <c r="D106" t="n">
        <v>1005</v>
      </c>
      <c r="E106" s="4" t="n">
        <v>47.72833333333358</v>
      </c>
      <c r="F106" s="4" t="n">
        <v>719.7283333333336</v>
      </c>
    </row>
    <row r="107">
      <c r="A107" t="n">
        <v>150</v>
      </c>
      <c r="B107" t="n">
        <v>0.8</v>
      </c>
      <c r="C107" t="n">
        <v>0.1</v>
      </c>
      <c r="D107" t="n">
        <v>1001</v>
      </c>
      <c r="E107" s="4" t="n">
        <v>17.39766666666696</v>
      </c>
      <c r="F107" s="4" t="n">
        <v>689.397666666667</v>
      </c>
    </row>
    <row r="108">
      <c r="A108" t="n">
        <v>150</v>
      </c>
      <c r="B108" t="n">
        <v>0.8</v>
      </c>
      <c r="C108" t="n">
        <v>0.1</v>
      </c>
      <c r="D108" t="n">
        <v>1002</v>
      </c>
      <c r="E108" s="4" t="n">
        <v>0.7716666666668743</v>
      </c>
      <c r="F108" s="4" t="n">
        <v>672.7716666666669</v>
      </c>
    </row>
    <row r="109">
      <c r="A109" t="n">
        <v>150</v>
      </c>
      <c r="B109" t="n">
        <v>0.8</v>
      </c>
      <c r="C109" t="n">
        <v>0.1</v>
      </c>
      <c r="D109" t="n">
        <v>1003</v>
      </c>
      <c r="E109" s="4" t="n">
        <v>90.97150000000011</v>
      </c>
      <c r="F109" s="4" t="n">
        <v>762.9715000000001</v>
      </c>
    </row>
    <row r="110">
      <c r="A110" t="n">
        <v>150</v>
      </c>
      <c r="B110" t="n">
        <v>0.8</v>
      </c>
      <c r="C110" t="n">
        <v>0.1</v>
      </c>
      <c r="D110" t="n">
        <v>1004</v>
      </c>
      <c r="E110" s="4" t="n">
        <v>14.54000000000019</v>
      </c>
      <c r="F110" s="4" t="n">
        <v>686.5400000000002</v>
      </c>
    </row>
    <row r="111">
      <c r="A111" t="n">
        <v>150</v>
      </c>
      <c r="B111" t="n">
        <v>0.8</v>
      </c>
      <c r="C111" t="n">
        <v>0.1</v>
      </c>
      <c r="D111" t="n">
        <v>1005</v>
      </c>
      <c r="E111" s="4" t="n">
        <v>0</v>
      </c>
      <c r="F111" s="4" t="n">
        <v>665.3450000000001</v>
      </c>
    </row>
    <row r="112">
      <c r="A112" t="n">
        <v>150</v>
      </c>
      <c r="B112" t="n">
        <v>0.8</v>
      </c>
      <c r="C112" t="n">
        <v>0.3</v>
      </c>
      <c r="D112" t="n">
        <v>1001</v>
      </c>
      <c r="E112" s="4" t="n">
        <v>0.9986666666668498</v>
      </c>
      <c r="F112" s="4" t="n">
        <v>672.9986666666668</v>
      </c>
    </row>
    <row r="113">
      <c r="A113" t="n">
        <v>150</v>
      </c>
      <c r="B113" t="n">
        <v>0.8</v>
      </c>
      <c r="C113" t="n">
        <v>0.3</v>
      </c>
      <c r="D113" t="n">
        <v>1002</v>
      </c>
      <c r="E113" s="4" t="n">
        <v>0</v>
      </c>
      <c r="F113" s="4" t="n">
        <v>634.9218333333334</v>
      </c>
    </row>
    <row r="114">
      <c r="A114" t="n">
        <v>150</v>
      </c>
      <c r="B114" t="n">
        <v>0.8</v>
      </c>
      <c r="C114" t="n">
        <v>0.3</v>
      </c>
      <c r="D114" t="n">
        <v>1003</v>
      </c>
      <c r="E114" s="4" t="n">
        <v>15.51616666666689</v>
      </c>
      <c r="F114" s="4" t="n">
        <v>687.5161666666669</v>
      </c>
    </row>
    <row r="115">
      <c r="A115" t="n">
        <v>150</v>
      </c>
      <c r="B115" t="n">
        <v>0.8</v>
      </c>
      <c r="C115" t="n">
        <v>0.3</v>
      </c>
      <c r="D115" t="n">
        <v>1004</v>
      </c>
      <c r="E115" s="4" t="n">
        <v>0</v>
      </c>
      <c r="F115" s="4" t="n">
        <v>643.2153333333335</v>
      </c>
    </row>
    <row r="116">
      <c r="A116" t="n">
        <v>150</v>
      </c>
      <c r="B116" t="n">
        <v>0.8</v>
      </c>
      <c r="C116" t="n">
        <v>0.3</v>
      </c>
      <c r="D116" t="n">
        <v>1005</v>
      </c>
      <c r="E116" s="4" t="n">
        <v>11.28850000000011</v>
      </c>
      <c r="F116" s="4" t="n">
        <v>683.2885000000001</v>
      </c>
    </row>
    <row r="117">
      <c r="A117" t="n">
        <v>150</v>
      </c>
      <c r="B117" t="n">
        <v>0.8</v>
      </c>
      <c r="C117" t="n">
        <v>0.5</v>
      </c>
      <c r="D117" t="n">
        <v>1001</v>
      </c>
      <c r="E117" s="4" t="n">
        <v>0</v>
      </c>
      <c r="F117" s="4" t="n">
        <v>656.4116666666669</v>
      </c>
    </row>
    <row r="118">
      <c r="A118" t="n">
        <v>150</v>
      </c>
      <c r="B118" t="n">
        <v>0.8</v>
      </c>
      <c r="C118" t="n">
        <v>0.5</v>
      </c>
      <c r="D118" t="n">
        <v>1002</v>
      </c>
      <c r="E118" s="4" t="n">
        <v>0</v>
      </c>
      <c r="F118" s="4" t="n">
        <v>641.8036666666668</v>
      </c>
    </row>
    <row r="119">
      <c r="A119" t="n">
        <v>150</v>
      </c>
      <c r="B119" t="n">
        <v>0.8</v>
      </c>
      <c r="C119" t="n">
        <v>0.5</v>
      </c>
      <c r="D119" t="n">
        <v>1003</v>
      </c>
      <c r="E119" s="4" t="n">
        <v>0</v>
      </c>
      <c r="F119" s="4" t="n">
        <v>666.7903333333336</v>
      </c>
    </row>
    <row r="120">
      <c r="A120" t="n">
        <v>150</v>
      </c>
      <c r="B120" t="n">
        <v>0.8</v>
      </c>
      <c r="C120" t="n">
        <v>0.5</v>
      </c>
      <c r="D120" t="n">
        <v>1004</v>
      </c>
      <c r="E120" s="4" t="n">
        <v>0</v>
      </c>
      <c r="F120" s="4" t="n">
        <v>641.3830000000002</v>
      </c>
    </row>
    <row r="121">
      <c r="A121" t="n">
        <v>150</v>
      </c>
      <c r="B121" t="n">
        <v>0.8</v>
      </c>
      <c r="C121" t="n">
        <v>0.5</v>
      </c>
      <c r="D121" t="n">
        <v>1005</v>
      </c>
      <c r="E121" s="4" t="n">
        <v>1.866499999999974</v>
      </c>
      <c r="F121" s="4" t="n">
        <v>673.8665</v>
      </c>
    </row>
    <row r="122">
      <c r="A122" t="n">
        <v>150</v>
      </c>
      <c r="B122" t="n">
        <v>0.9</v>
      </c>
      <c r="C122" t="n">
        <v>0.1</v>
      </c>
      <c r="D122" t="n">
        <v>1001</v>
      </c>
      <c r="E122" s="4" t="n">
        <v>2.861833333333266</v>
      </c>
      <c r="F122" s="4" t="n">
        <v>674.8618333333333</v>
      </c>
    </row>
    <row r="123">
      <c r="A123" t="n">
        <v>150</v>
      </c>
      <c r="B123" t="n">
        <v>0.9</v>
      </c>
      <c r="C123" t="n">
        <v>0.1</v>
      </c>
      <c r="D123" t="n">
        <v>1002</v>
      </c>
      <c r="E123" s="4" t="n">
        <v>31.22500000000002</v>
      </c>
      <c r="F123" s="4" t="n">
        <v>703.225</v>
      </c>
    </row>
    <row r="124">
      <c r="A124" t="n">
        <v>150</v>
      </c>
      <c r="B124" t="n">
        <v>0.9</v>
      </c>
      <c r="C124" t="n">
        <v>0.1</v>
      </c>
      <c r="D124" t="n">
        <v>1003</v>
      </c>
      <c r="E124" s="4" t="n">
        <v>35.81366666666679</v>
      </c>
      <c r="F124" s="4" t="n">
        <v>707.8136666666668</v>
      </c>
    </row>
    <row r="125">
      <c r="A125" t="n">
        <v>150</v>
      </c>
      <c r="B125" t="n">
        <v>0.9</v>
      </c>
      <c r="C125" t="n">
        <v>0.1</v>
      </c>
      <c r="D125" t="n">
        <v>1004</v>
      </c>
      <c r="E125" s="4" t="n">
        <v>0</v>
      </c>
      <c r="F125" s="4" t="n">
        <v>668.4468333333335</v>
      </c>
    </row>
    <row r="126">
      <c r="A126" t="n">
        <v>150</v>
      </c>
      <c r="B126" t="n">
        <v>0.9</v>
      </c>
      <c r="C126" t="n">
        <v>0.1</v>
      </c>
      <c r="D126" t="n">
        <v>1005</v>
      </c>
      <c r="E126" s="4" t="n">
        <v>25.47016666666673</v>
      </c>
      <c r="F126" s="4" t="n">
        <v>697.4701666666667</v>
      </c>
    </row>
    <row r="127">
      <c r="A127" t="n">
        <v>150</v>
      </c>
      <c r="B127" t="n">
        <v>0.9</v>
      </c>
      <c r="C127" t="n">
        <v>0.3</v>
      </c>
      <c r="D127" t="n">
        <v>1001</v>
      </c>
      <c r="E127" s="4" t="n">
        <v>25.22083333333342</v>
      </c>
      <c r="F127" s="4" t="n">
        <v>697.2208333333334</v>
      </c>
    </row>
    <row r="128">
      <c r="A128" t="n">
        <v>150</v>
      </c>
      <c r="B128" t="n">
        <v>0.9</v>
      </c>
      <c r="C128" t="n">
        <v>0.3</v>
      </c>
      <c r="D128" t="n">
        <v>1002</v>
      </c>
      <c r="E128" s="4" t="n">
        <v>0</v>
      </c>
      <c r="F128" s="4" t="n">
        <v>668.9201666666669</v>
      </c>
    </row>
    <row r="129">
      <c r="A129" t="n">
        <v>150</v>
      </c>
      <c r="B129" t="n">
        <v>0.9</v>
      </c>
      <c r="C129" t="n">
        <v>0.3</v>
      </c>
      <c r="D129" t="n">
        <v>1003</v>
      </c>
      <c r="E129" s="4" t="n">
        <v>0</v>
      </c>
      <c r="F129" s="4" t="n">
        <v>663.0216666666669</v>
      </c>
    </row>
    <row r="130">
      <c r="A130" t="n">
        <v>150</v>
      </c>
      <c r="B130" t="n">
        <v>0.9</v>
      </c>
      <c r="C130" t="n">
        <v>0.3</v>
      </c>
      <c r="D130" t="n">
        <v>1004</v>
      </c>
      <c r="E130" s="4" t="n">
        <v>0</v>
      </c>
      <c r="F130" s="4" t="n">
        <v>665.9405000000003</v>
      </c>
    </row>
    <row r="131">
      <c r="A131" t="n">
        <v>150</v>
      </c>
      <c r="B131" t="n">
        <v>0.9</v>
      </c>
      <c r="C131" t="n">
        <v>0.3</v>
      </c>
      <c r="D131" t="n">
        <v>1005</v>
      </c>
      <c r="E131" s="4" t="n">
        <v>0</v>
      </c>
      <c r="F131" s="4" t="n">
        <v>661.6010000000002</v>
      </c>
    </row>
    <row r="132">
      <c r="A132" t="n">
        <v>150</v>
      </c>
      <c r="B132" t="n">
        <v>0.9</v>
      </c>
      <c r="C132" t="n">
        <v>0.5</v>
      </c>
      <c r="D132" t="n">
        <v>1001</v>
      </c>
      <c r="E132" s="4" t="n">
        <v>0</v>
      </c>
      <c r="F132" s="4" t="n">
        <v>657.7508333333335</v>
      </c>
    </row>
    <row r="133">
      <c r="A133" t="n">
        <v>150</v>
      </c>
      <c r="B133" t="n">
        <v>0.9</v>
      </c>
      <c r="C133" t="n">
        <v>0.5</v>
      </c>
      <c r="D133" t="n">
        <v>1002</v>
      </c>
      <c r="E133" s="4" t="n">
        <v>0</v>
      </c>
      <c r="F133" s="4" t="n">
        <v>645.0721666666667</v>
      </c>
    </row>
    <row r="134">
      <c r="A134" t="n">
        <v>150</v>
      </c>
      <c r="B134" t="n">
        <v>0.9</v>
      </c>
      <c r="C134" t="n">
        <v>0.5</v>
      </c>
      <c r="D134" t="n">
        <v>1003</v>
      </c>
      <c r="E134" s="4" t="n">
        <v>0</v>
      </c>
      <c r="F134" s="4" t="n">
        <v>632.6670000000001</v>
      </c>
    </row>
    <row r="135">
      <c r="A135" t="n">
        <v>150</v>
      </c>
      <c r="B135" t="n">
        <v>0.9</v>
      </c>
      <c r="C135" t="n">
        <v>0.5</v>
      </c>
      <c r="D135" t="n">
        <v>1004</v>
      </c>
      <c r="E135" s="4" t="n">
        <v>0</v>
      </c>
      <c r="F135" s="4" t="n">
        <v>665.0618333333335</v>
      </c>
    </row>
    <row r="136">
      <c r="A136" t="n">
        <v>150</v>
      </c>
      <c r="B136" t="n">
        <v>0.9</v>
      </c>
      <c r="C136" t="n">
        <v>0.5</v>
      </c>
      <c r="D136" t="n">
        <v>1005</v>
      </c>
      <c r="E136" s="4" t="n">
        <v>0</v>
      </c>
      <c r="F136" s="4" t="n">
        <v>660.9203333333337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30" customWidth="1" min="5" max="5"/>
    <col width="12" customWidth="1" min="6" max="6"/>
  </cols>
  <sheetData>
    <row r="1">
      <c r="A1" s="5" t="inlineStr">
        <is>
          <t>ANOVA de la tardanza total (ΣTj)</t>
        </is>
      </c>
    </row>
    <row r="3">
      <c r="A3" s="6" t="inlineStr">
        <is>
          <t>Media general</t>
        </is>
      </c>
      <c r="B3">
        <f>AVERAGE(Corridas!$E$2:$E$136)</f>
        <v/>
      </c>
    </row>
    <row r="4">
      <c r="A4" s="6" t="inlineStr">
        <is>
          <t>Número de corridas</t>
        </is>
      </c>
      <c r="B4">
        <f>COUNT(Corridas!$E$2:$E$136)</f>
        <v/>
      </c>
    </row>
    <row r="6">
      <c r="A6" s="6" t="inlineStr">
        <is>
          <t>Efecto principal: Población</t>
        </is>
      </c>
    </row>
    <row r="7">
      <c r="A7" s="3" t="inlineStr">
        <is>
          <t>Nivel</t>
        </is>
      </c>
      <c r="B7" s="3" t="inlineStr">
        <is>
          <t>n</t>
        </is>
      </c>
      <c r="C7" s="3" t="inlineStr">
        <is>
          <t>Media ΣTj</t>
        </is>
      </c>
      <c r="D7" s="3" t="inlineStr">
        <is>
          <t>n·(media − media general)²</t>
        </is>
      </c>
    </row>
    <row r="8">
      <c r="A8" t="n">
        <v>50</v>
      </c>
      <c r="B8">
        <f>COUNTIF(Corridas!$A$2:$A$136,A8)</f>
        <v/>
      </c>
      <c r="C8" s="7">
        <f>AVERAGEIF(Corridas!$A$2:$A$136,A8,Corridas!$E$2:$E$136)</f>
        <v/>
      </c>
      <c r="D8" s="7">
        <f>B8*(C8-$B$3)^2</f>
        <v/>
      </c>
    </row>
    <row r="9">
      <c r="A9" t="n">
        <v>100</v>
      </c>
      <c r="B9">
        <f>COUNTIF(Corridas!$A$2:$A$136,A9)</f>
        <v/>
      </c>
      <c r="C9" s="7">
        <f>AVERAGEIF(Corridas!$A$2:$A$136,A9,Corridas!$E$2:$E$136)</f>
        <v/>
      </c>
      <c r="D9" s="7">
        <f>B9*(C9-$B$3)^2</f>
        <v/>
      </c>
    </row>
    <row r="10">
      <c r="A10" t="n">
        <v>150</v>
      </c>
      <c r="B10">
        <f>COUNTIF(Corridas!$A$2:$A$136,A10)</f>
        <v/>
      </c>
      <c r="C10" s="7">
        <f>AVERAGEIF(Corridas!$A$2:$A$136,A10,Corridas!$E$2:$E$136)</f>
        <v/>
      </c>
      <c r="D10" s="7">
        <f>B10*(C10-$B$3)^2</f>
        <v/>
      </c>
    </row>
    <row r="11">
      <c r="C11" s="6" t="inlineStr">
        <is>
          <t>SC</t>
        </is>
      </c>
      <c r="D11" s="8">
        <f>SUM(D8:D10)</f>
        <v/>
      </c>
    </row>
    <row r="13">
      <c r="A13" s="6" t="inlineStr">
        <is>
          <t>Efecto principal: Prob. cruce</t>
        </is>
      </c>
    </row>
    <row r="14">
      <c r="A14" s="3" t="inlineStr">
        <is>
          <t>Nivel</t>
        </is>
      </c>
      <c r="B14" s="3" t="inlineStr">
        <is>
          <t>n</t>
        </is>
      </c>
      <c r="C14" s="3" t="inlineStr">
        <is>
          <t>Media ΣTj</t>
        </is>
      </c>
      <c r="D14" s="3" t="inlineStr">
        <is>
          <t>n·(media − media general)²</t>
        </is>
      </c>
    </row>
    <row r="15">
      <c r="A15" t="n">
        <v>0.7</v>
      </c>
      <c r="B15">
        <f>COUNTIF(Corridas!$B$2:$B$136,A15)</f>
        <v/>
      </c>
      <c r="C15" s="7">
        <f>AVERAGEIF(Corridas!$B$2:$B$136,A15,Corridas!$E$2:$E$136)</f>
        <v/>
      </c>
      <c r="D15" s="7">
        <f>B15*(C15-$B$3)^2</f>
        <v/>
      </c>
    </row>
    <row r="16">
      <c r="A16" t="n">
        <v>0.8</v>
      </c>
      <c r="B16">
        <f>COUNTIF(Corridas!$B$2:$B$136,A16)</f>
        <v/>
      </c>
      <c r="C16" s="7">
        <f>AVERAGEIF(Corridas!$B$2:$B$136,A16,Corridas!$E$2:$E$136)</f>
        <v/>
      </c>
      <c r="D16" s="7">
        <f>B16*(C16-$B$3)^2</f>
        <v/>
      </c>
    </row>
    <row r="17">
      <c r="A17" t="n">
        <v>0.9</v>
      </c>
      <c r="B17">
        <f>COUNTIF(Corridas!$B$2:$B$136,A17)</f>
        <v/>
      </c>
      <c r="C17" s="7">
        <f>AVERAGEIF(Corridas!$B$2:$B$136,A17,Corridas!$E$2:$E$136)</f>
        <v/>
      </c>
      <c r="D17" s="7">
        <f>B17*(C17-$B$3)^2</f>
        <v/>
      </c>
    </row>
    <row r="18">
      <c r="C18" s="6" t="inlineStr">
        <is>
          <t>SC</t>
        </is>
      </c>
      <c r="D18" s="8">
        <f>SUM(D15:D17)</f>
        <v/>
      </c>
    </row>
    <row r="20">
      <c r="A20" s="6" t="inlineStr">
        <is>
          <t>Efecto principal: Prob. mutación</t>
        </is>
      </c>
    </row>
    <row r="21">
      <c r="A21" s="3" t="inlineStr">
        <is>
          <t>Nivel</t>
        </is>
      </c>
      <c r="B21" s="3" t="inlineStr">
        <is>
          <t>n</t>
        </is>
      </c>
      <c r="C21" s="3" t="inlineStr">
        <is>
          <t>Media ΣTj</t>
        </is>
      </c>
      <c r="D21" s="3" t="inlineStr">
        <is>
          <t>n·(media − media general)²</t>
        </is>
      </c>
    </row>
    <row r="22">
      <c r="A22" t="n">
        <v>0.1</v>
      </c>
      <c r="B22">
        <f>COUNTIF(Corridas!$C$2:$C$136,A22)</f>
        <v/>
      </c>
      <c r="C22" s="7">
        <f>AVERAGEIF(Corridas!$C$2:$C$136,A22,Corridas!$E$2:$E$136)</f>
        <v/>
      </c>
      <c r="D22" s="7">
        <f>B22*(C22-$B$3)^2</f>
        <v/>
      </c>
    </row>
    <row r="23">
      <c r="A23" t="n">
        <v>0.3</v>
      </c>
      <c r="B23">
        <f>COUNTIF(Corridas!$C$2:$C$136,A23)</f>
        <v/>
      </c>
      <c r="C23" s="7">
        <f>AVERAGEIF(Corridas!$C$2:$C$136,A23,Corridas!$E$2:$E$136)</f>
        <v/>
      </c>
      <c r="D23" s="7">
        <f>B23*(C23-$B$3)^2</f>
        <v/>
      </c>
    </row>
    <row r="24">
      <c r="A24" t="n">
        <v>0.5</v>
      </c>
      <c r="B24">
        <f>COUNTIF(Corridas!$C$2:$C$136,A24)</f>
        <v/>
      </c>
      <c r="C24" s="7">
        <f>AVERAGEIF(Corridas!$C$2:$C$136,A24,Corridas!$E$2:$E$136)</f>
        <v/>
      </c>
      <c r="D24" s="7">
        <f>B24*(C24-$B$3)^2</f>
        <v/>
      </c>
    </row>
    <row r="25">
      <c r="C25" s="6" t="inlineStr">
        <is>
          <t>SC</t>
        </is>
      </c>
      <c r="D25" s="8">
        <f>SUM(D22:D24)</f>
        <v/>
      </c>
    </row>
    <row r="27">
      <c r="A27" s="6" t="inlineStr">
        <is>
          <t>Interacción: Población × Prob. cruce</t>
        </is>
      </c>
    </row>
    <row r="28">
      <c r="A28" s="3" t="inlineStr">
        <is>
          <t>Población</t>
        </is>
      </c>
      <c r="B28" s="3" t="inlineStr">
        <is>
          <t>Prob. cruce</t>
        </is>
      </c>
      <c r="C28" s="3" t="inlineStr">
        <is>
          <t>n</t>
        </is>
      </c>
      <c r="D28" s="3" t="inlineStr">
        <is>
          <t>Media celda</t>
        </is>
      </c>
      <c r="E28" s="3" t="inlineStr">
        <is>
          <t>n·(celda − A − B + general)²</t>
        </is>
      </c>
    </row>
    <row r="29">
      <c r="A29" t="n">
        <v>50</v>
      </c>
      <c r="B29" t="n">
        <v>0.7</v>
      </c>
      <c r="C29">
        <f>COUNTIFS(Corridas!$A$2:$A$136,A29,Corridas!$B$2:$B$136,B29)</f>
        <v/>
      </c>
      <c r="D29" s="7">
        <f>AVERAGEIFS(Corridas!$E$2:$E$136,Corridas!$A$2:$A$136,A29,Corridas!$B$2:$B$136,B29)</f>
        <v/>
      </c>
      <c r="E29" s="7">
        <f>C29*(D29-$C$8-$C$15+$B$3)^2</f>
        <v/>
      </c>
    </row>
    <row r="30">
      <c r="A30" t="n">
        <v>50</v>
      </c>
      <c r="B30" t="n">
        <v>0.8</v>
      </c>
      <c r="C30">
        <f>COUNTIFS(Corridas!$A$2:$A$136,A30,Corridas!$B$2:$B$136,B30)</f>
        <v/>
      </c>
      <c r="D30" s="7">
        <f>AVERAGEIFS(Corridas!$E$2:$E$136,Corridas!$A$2:$A$136,A30,Corridas!$B$2:$B$136,B30)</f>
        <v/>
      </c>
      <c r="E30" s="7">
        <f>C30*(D30-$C$8-$C$16+$B$3)^2</f>
        <v/>
      </c>
    </row>
    <row r="31">
      <c r="A31" t="n">
        <v>50</v>
      </c>
      <c r="B31" t="n">
        <v>0.9</v>
      </c>
      <c r="C31">
        <f>COUNTIFS(Corridas!$A$2:$A$136,A31,Corridas!$B$2:$B$136,B31)</f>
        <v/>
      </c>
      <c r="D31" s="7">
        <f>AVERAGEIFS(Corridas!$E$2:$E$136,Corridas!$A$2:$A$136,A31,Corridas!$B$2:$B$136,B31)</f>
        <v/>
      </c>
      <c r="E31" s="7">
        <f>C31*(D31-$C$8-$C$17+$B$3)^2</f>
        <v/>
      </c>
    </row>
    <row r="32">
      <c r="A32" t="n">
        <v>100</v>
      </c>
      <c r="B32" t="n">
        <v>0.7</v>
      </c>
      <c r="C32">
        <f>COUNTIFS(Corridas!$A$2:$A$136,A32,Corridas!$B$2:$B$136,B32)</f>
        <v/>
      </c>
      <c r="D32" s="7">
        <f>AVERAGEIFS(Corridas!$E$2:$E$136,Corridas!$A$2:$A$136,A32,Corridas!$B$2:$B$136,B32)</f>
        <v/>
      </c>
      <c r="E32" s="7">
        <f>C32*(D32-$C$9-$C$15+$B$3)^2</f>
        <v/>
      </c>
    </row>
    <row r="33">
      <c r="A33" t="n">
        <v>100</v>
      </c>
      <c r="B33" t="n">
        <v>0.8</v>
      </c>
      <c r="C33">
        <f>COUNTIFS(Corridas!$A$2:$A$136,A33,Corridas!$B$2:$B$136,B33)</f>
        <v/>
      </c>
      <c r="D33" s="7">
        <f>AVERAGEIFS(Corridas!$E$2:$E$136,Corridas!$A$2:$A$136,A33,Corridas!$B$2:$B$136,B33)</f>
        <v/>
      </c>
      <c r="E33" s="7">
        <f>C33*(D33-$C$9-$C$16+$B$3)^2</f>
        <v/>
      </c>
    </row>
    <row r="34">
      <c r="A34" t="n">
        <v>100</v>
      </c>
      <c r="B34" t="n">
        <v>0.9</v>
      </c>
      <c r="C34">
        <f>COUNTIFS(Corridas!$A$2:$A$136,A34,Corridas!$B$2:$B$136,B34)</f>
        <v/>
      </c>
      <c r="D34" s="7">
        <f>AVERAGEIFS(Corridas!$E$2:$E$136,Corridas!$A$2:$A$136,A34,Corridas!$B$2:$B$136,B34)</f>
        <v/>
      </c>
      <c r="E34" s="7">
        <f>C34*(D34-$C$9-$C$17+$B$3)^2</f>
        <v/>
      </c>
    </row>
    <row r="35">
      <c r="A35" t="n">
        <v>150</v>
      </c>
      <c r="B35" t="n">
        <v>0.7</v>
      </c>
      <c r="C35">
        <f>COUNTIFS(Corridas!$A$2:$A$136,A35,Corridas!$B$2:$B$136,B35)</f>
        <v/>
      </c>
      <c r="D35" s="7">
        <f>AVERAGEIFS(Corridas!$E$2:$E$136,Corridas!$A$2:$A$136,A35,Corridas!$B$2:$B$136,B35)</f>
        <v/>
      </c>
      <c r="E35" s="7">
        <f>C35*(D35-$C$10-$C$15+$B$3)^2</f>
        <v/>
      </c>
    </row>
    <row r="36">
      <c r="A36" t="n">
        <v>150</v>
      </c>
      <c r="B36" t="n">
        <v>0.8</v>
      </c>
      <c r="C36">
        <f>COUNTIFS(Corridas!$A$2:$A$136,A36,Corridas!$B$2:$B$136,B36)</f>
        <v/>
      </c>
      <c r="D36" s="7">
        <f>AVERAGEIFS(Corridas!$E$2:$E$136,Corridas!$A$2:$A$136,A36,Corridas!$B$2:$B$136,B36)</f>
        <v/>
      </c>
      <c r="E36" s="7">
        <f>C36*(D36-$C$10-$C$16+$B$3)^2</f>
        <v/>
      </c>
    </row>
    <row r="37">
      <c r="A37" t="n">
        <v>150</v>
      </c>
      <c r="B37" t="n">
        <v>0.9</v>
      </c>
      <c r="C37">
        <f>COUNTIFS(Corridas!$A$2:$A$136,A37,Corridas!$B$2:$B$136,B37)</f>
        <v/>
      </c>
      <c r="D37" s="7">
        <f>AVERAGEIFS(Corridas!$E$2:$E$136,Corridas!$A$2:$A$136,A37,Corridas!$B$2:$B$136,B37)</f>
        <v/>
      </c>
      <c r="E37" s="7">
        <f>C37*(D37-$C$10-$C$17+$B$3)^2</f>
        <v/>
      </c>
    </row>
    <row r="38">
      <c r="D38" s="6" t="inlineStr">
        <is>
          <t>SC</t>
        </is>
      </c>
      <c r="E38" s="8">
        <f>SUM(E29:E37)</f>
        <v/>
      </c>
    </row>
    <row r="40">
      <c r="A40" s="6" t="inlineStr">
        <is>
          <t>Interacción: Población × Prob. mutación</t>
        </is>
      </c>
    </row>
    <row r="41">
      <c r="A41" s="3" t="inlineStr">
        <is>
          <t>Población</t>
        </is>
      </c>
      <c r="B41" s="3" t="inlineStr">
        <is>
          <t>Prob. mutación</t>
        </is>
      </c>
      <c r="C41" s="3" t="inlineStr">
        <is>
          <t>n</t>
        </is>
      </c>
      <c r="D41" s="3" t="inlineStr">
        <is>
          <t>Media celda</t>
        </is>
      </c>
      <c r="E41" s="3" t="inlineStr">
        <is>
          <t>n·(celda − A − B + general)²</t>
        </is>
      </c>
    </row>
    <row r="42">
      <c r="A42" t="n">
        <v>50</v>
      </c>
      <c r="B42" t="n">
        <v>0.1</v>
      </c>
      <c r="C42">
        <f>COUNTIFS(Corridas!$A$2:$A$136,A42,Corridas!$C$2:$C$136,B42)</f>
        <v/>
      </c>
      <c r="D42" s="7">
        <f>AVERAGEIFS(Corridas!$E$2:$E$136,Corridas!$A$2:$A$136,A42,Corridas!$C$2:$C$136,B42)</f>
        <v/>
      </c>
      <c r="E42" s="7">
        <f>C42*(D42-$C$8-$C$22+$B$3)^2</f>
        <v/>
      </c>
    </row>
    <row r="43">
      <c r="A43" t="n">
        <v>50</v>
      </c>
      <c r="B43" t="n">
        <v>0.3</v>
      </c>
      <c r="C43">
        <f>COUNTIFS(Corridas!$A$2:$A$136,A43,Corridas!$C$2:$C$136,B43)</f>
        <v/>
      </c>
      <c r="D43" s="7">
        <f>AVERAGEIFS(Corridas!$E$2:$E$136,Corridas!$A$2:$A$136,A43,Corridas!$C$2:$C$136,B43)</f>
        <v/>
      </c>
      <c r="E43" s="7">
        <f>C43*(D43-$C$8-$C$23+$B$3)^2</f>
        <v/>
      </c>
    </row>
    <row r="44">
      <c r="A44" t="n">
        <v>50</v>
      </c>
      <c r="B44" t="n">
        <v>0.5</v>
      </c>
      <c r="C44">
        <f>COUNTIFS(Corridas!$A$2:$A$136,A44,Corridas!$C$2:$C$136,B44)</f>
        <v/>
      </c>
      <c r="D44" s="7">
        <f>AVERAGEIFS(Corridas!$E$2:$E$136,Corridas!$A$2:$A$136,A44,Corridas!$C$2:$C$136,B44)</f>
        <v/>
      </c>
      <c r="E44" s="7">
        <f>C44*(D44-$C$8-$C$24+$B$3)^2</f>
        <v/>
      </c>
    </row>
    <row r="45">
      <c r="A45" t="n">
        <v>100</v>
      </c>
      <c r="B45" t="n">
        <v>0.1</v>
      </c>
      <c r="C45">
        <f>COUNTIFS(Corridas!$A$2:$A$136,A45,Corridas!$C$2:$C$136,B45)</f>
        <v/>
      </c>
      <c r="D45" s="7">
        <f>AVERAGEIFS(Corridas!$E$2:$E$136,Corridas!$A$2:$A$136,A45,Corridas!$C$2:$C$136,B45)</f>
        <v/>
      </c>
      <c r="E45" s="7">
        <f>C45*(D45-$C$9-$C$22+$B$3)^2</f>
        <v/>
      </c>
    </row>
    <row r="46">
      <c r="A46" t="n">
        <v>100</v>
      </c>
      <c r="B46" t="n">
        <v>0.3</v>
      </c>
      <c r="C46">
        <f>COUNTIFS(Corridas!$A$2:$A$136,A46,Corridas!$C$2:$C$136,B46)</f>
        <v/>
      </c>
      <c r="D46" s="7">
        <f>AVERAGEIFS(Corridas!$E$2:$E$136,Corridas!$A$2:$A$136,A46,Corridas!$C$2:$C$136,B46)</f>
        <v/>
      </c>
      <c r="E46" s="7">
        <f>C46*(D46-$C$9-$C$23+$B$3)^2</f>
        <v/>
      </c>
    </row>
    <row r="47">
      <c r="A47" t="n">
        <v>100</v>
      </c>
      <c r="B47" t="n">
        <v>0.5</v>
      </c>
      <c r="C47">
        <f>COUNTIFS(Corridas!$A$2:$A$136,A47,Corridas!$C$2:$C$136,B47)</f>
        <v/>
      </c>
      <c r="D47" s="7">
        <f>AVERAGEIFS(Corridas!$E$2:$E$136,Corridas!$A$2:$A$136,A47,Corridas!$C$2:$C$136,B47)</f>
        <v/>
      </c>
      <c r="E47" s="7">
        <f>C47*(D47-$C$9-$C$24+$B$3)^2</f>
        <v/>
      </c>
    </row>
    <row r="48">
      <c r="A48" t="n">
        <v>150</v>
      </c>
      <c r="B48" t="n">
        <v>0.1</v>
      </c>
      <c r="C48">
        <f>COUNTIFS(Corridas!$A$2:$A$136,A48,Corridas!$C$2:$C$136,B48)</f>
        <v/>
      </c>
      <c r="D48" s="7">
        <f>AVERAGEIFS(Corridas!$E$2:$E$136,Corridas!$A$2:$A$136,A48,Corridas!$C$2:$C$136,B48)</f>
        <v/>
      </c>
      <c r="E48" s="7">
        <f>C48*(D48-$C$10-$C$22+$B$3)^2</f>
        <v/>
      </c>
    </row>
    <row r="49">
      <c r="A49" t="n">
        <v>150</v>
      </c>
      <c r="B49" t="n">
        <v>0.3</v>
      </c>
      <c r="C49">
        <f>COUNTIFS(Corridas!$A$2:$A$136,A49,Corridas!$C$2:$C$136,B49)</f>
        <v/>
      </c>
      <c r="D49" s="7">
        <f>AVERAGEIFS(Corridas!$E$2:$E$136,Corridas!$A$2:$A$136,A49,Corridas!$C$2:$C$136,B49)</f>
        <v/>
      </c>
      <c r="E49" s="7">
        <f>C49*(D49-$C$10-$C$23+$B$3)^2</f>
        <v/>
      </c>
    </row>
    <row r="50">
      <c r="A50" t="n">
        <v>150</v>
      </c>
      <c r="B50" t="n">
        <v>0.5</v>
      </c>
      <c r="C50">
        <f>COUNTIFS(Corridas!$A$2:$A$136,A50,Corridas!$C$2:$C$136,B50)</f>
        <v/>
      </c>
      <c r="D50" s="7">
        <f>AVERAGEIFS(Corridas!$E$2:$E$136,Corridas!$A$2:$A$136,A50,Corridas!$C$2:$C$136,B50)</f>
        <v/>
      </c>
      <c r="E50" s="7">
        <f>C50*(D50-$C$10-$C$24+$B$3)^2</f>
        <v/>
      </c>
    </row>
    <row r="51">
      <c r="D51" s="6" t="inlineStr">
        <is>
          <t>SC</t>
        </is>
      </c>
      <c r="E51" s="8">
        <f>SUM(E42:E50)</f>
        <v/>
      </c>
    </row>
    <row r="53">
      <c r="A53" s="6" t="inlineStr">
        <is>
          <t>Interacción: Prob. cruce × Prob. mutación</t>
        </is>
      </c>
    </row>
    <row r="54">
      <c r="A54" s="3" t="inlineStr">
        <is>
          <t>Prob. cruce</t>
        </is>
      </c>
      <c r="B54" s="3" t="inlineStr">
        <is>
          <t>Prob. mutación</t>
        </is>
      </c>
      <c r="C54" s="3" t="inlineStr">
        <is>
          <t>n</t>
        </is>
      </c>
      <c r="D54" s="3" t="inlineStr">
        <is>
          <t>Media celda</t>
        </is>
      </c>
      <c r="E54" s="3" t="inlineStr">
        <is>
          <t>n·(celda − A − B + general)²</t>
        </is>
      </c>
    </row>
    <row r="55">
      <c r="A55" t="n">
        <v>0.7</v>
      </c>
      <c r="B55" t="n">
        <v>0.1</v>
      </c>
      <c r="C55">
        <f>COUNTIFS(Corridas!$B$2:$B$136,A55,Corridas!$C$2:$C$136,B55)</f>
        <v/>
      </c>
      <c r="D55" s="7">
        <f>AVERAGEIFS(Corridas!$E$2:$E$136,Corridas!$B$2:$B$136,A55,Corridas!$C$2:$C$136,B55)</f>
        <v/>
      </c>
      <c r="E55" s="7">
        <f>C55*(D55-$C$15-$C$22+$B$3)^2</f>
        <v/>
      </c>
    </row>
    <row r="56">
      <c r="A56" t="n">
        <v>0.7</v>
      </c>
      <c r="B56" t="n">
        <v>0.3</v>
      </c>
      <c r="C56">
        <f>COUNTIFS(Corridas!$B$2:$B$136,A56,Corridas!$C$2:$C$136,B56)</f>
        <v/>
      </c>
      <c r="D56" s="7">
        <f>AVERAGEIFS(Corridas!$E$2:$E$136,Corridas!$B$2:$B$136,A56,Corridas!$C$2:$C$136,B56)</f>
        <v/>
      </c>
      <c r="E56" s="7">
        <f>C56*(D56-$C$15-$C$23+$B$3)^2</f>
        <v/>
      </c>
    </row>
    <row r="57">
      <c r="A57" t="n">
        <v>0.7</v>
      </c>
      <c r="B57" t="n">
        <v>0.5</v>
      </c>
      <c r="C57">
        <f>COUNTIFS(Corridas!$B$2:$B$136,A57,Corridas!$C$2:$C$136,B57)</f>
        <v/>
      </c>
      <c r="D57" s="7">
        <f>AVERAGEIFS(Corridas!$E$2:$E$136,Corridas!$B$2:$B$136,A57,Corridas!$C$2:$C$136,B57)</f>
        <v/>
      </c>
      <c r="E57" s="7">
        <f>C57*(D57-$C$15-$C$24+$B$3)^2</f>
        <v/>
      </c>
    </row>
    <row r="58">
      <c r="A58" t="n">
        <v>0.8</v>
      </c>
      <c r="B58" t="n">
        <v>0.1</v>
      </c>
      <c r="C58">
        <f>COUNTIFS(Corridas!$B$2:$B$136,A58,Corridas!$C$2:$C$136,B58)</f>
        <v/>
      </c>
      <c r="D58" s="7">
        <f>AVERAGEIFS(Corridas!$E$2:$E$136,Corridas!$B$2:$B$136,A58,Corridas!$C$2:$C$136,B58)</f>
        <v/>
      </c>
      <c r="E58" s="7">
        <f>C58*(D58-$C$16-$C$22+$B$3)^2</f>
        <v/>
      </c>
    </row>
    <row r="59">
      <c r="A59" t="n">
        <v>0.8</v>
      </c>
      <c r="B59" t="n">
        <v>0.3</v>
      </c>
      <c r="C59">
        <f>COUNTIFS(Corridas!$B$2:$B$136,A59,Corridas!$C$2:$C$136,B59)</f>
        <v/>
      </c>
      <c r="D59" s="7">
        <f>AVERAGEIFS(Corridas!$E$2:$E$136,Corridas!$B$2:$B$136,A59,Corridas!$C$2:$C$136,B59)</f>
        <v/>
      </c>
      <c r="E59" s="7">
        <f>C59*(D59-$C$16-$C$23+$B$3)^2</f>
        <v/>
      </c>
    </row>
    <row r="60">
      <c r="A60" t="n">
        <v>0.8</v>
      </c>
      <c r="B60" t="n">
        <v>0.5</v>
      </c>
      <c r="C60">
        <f>COUNTIFS(Corridas!$B$2:$B$136,A60,Corridas!$C$2:$C$136,B60)</f>
        <v/>
      </c>
      <c r="D60" s="7">
        <f>AVERAGEIFS(Corridas!$E$2:$E$136,Corridas!$B$2:$B$136,A60,Corridas!$C$2:$C$136,B60)</f>
        <v/>
      </c>
      <c r="E60" s="7">
        <f>C60*(D60-$C$16-$C$24+$B$3)^2</f>
        <v/>
      </c>
    </row>
    <row r="61">
      <c r="A61" t="n">
        <v>0.9</v>
      </c>
      <c r="B61" t="n">
        <v>0.1</v>
      </c>
      <c r="C61">
        <f>COUNTIFS(Corridas!$B$2:$B$136,A61,Corridas!$C$2:$C$136,B61)</f>
        <v/>
      </c>
      <c r="D61" s="7">
        <f>AVERAGEIFS(Corridas!$E$2:$E$136,Corridas!$B$2:$B$136,A61,Corridas!$C$2:$C$136,B61)</f>
        <v/>
      </c>
      <c r="E61" s="7">
        <f>C61*(D61-$C$17-$C$22+$B$3)^2</f>
        <v/>
      </c>
    </row>
    <row r="62">
      <c r="A62" t="n">
        <v>0.9</v>
      </c>
      <c r="B62" t="n">
        <v>0.3</v>
      </c>
      <c r="C62">
        <f>COUNTIFS(Corridas!$B$2:$B$136,A62,Corridas!$C$2:$C$136,B62)</f>
        <v/>
      </c>
      <c r="D62" s="7">
        <f>AVERAGEIFS(Corridas!$E$2:$E$136,Corridas!$B$2:$B$136,A62,Corridas!$C$2:$C$136,B62)</f>
        <v/>
      </c>
      <c r="E62" s="7">
        <f>C62*(D62-$C$17-$C$23+$B$3)^2</f>
        <v/>
      </c>
    </row>
    <row r="63">
      <c r="A63" t="n">
        <v>0.9</v>
      </c>
      <c r="B63" t="n">
        <v>0.5</v>
      </c>
      <c r="C63">
        <f>COUNTIFS(Corridas!$B$2:$B$136,A63,Corridas!$C$2:$C$136,B63)</f>
        <v/>
      </c>
      <c r="D63" s="7">
        <f>AVERAGEIFS(Corridas!$E$2:$E$136,Corridas!$B$2:$B$136,A63,Corridas!$C$2:$C$136,B63)</f>
        <v/>
      </c>
      <c r="E63" s="7">
        <f>C63*(D63-$C$17-$C$24+$B$3)^2</f>
        <v/>
      </c>
    </row>
    <row r="64">
      <c r="D64" s="6" t="inlineStr">
        <is>
          <t>SC</t>
        </is>
      </c>
      <c r="E64" s="8">
        <f>SUM(E55:E63)</f>
        <v/>
      </c>
    </row>
    <row r="66">
      <c r="A66" s="1" t="inlineStr">
        <is>
          <t>Tabla ANOVA</t>
        </is>
      </c>
    </row>
    <row r="67">
      <c r="A67" s="9" t="inlineStr">
        <is>
          <t>Fuente</t>
        </is>
      </c>
      <c r="B67" s="9" t="inlineStr">
        <is>
          <t>SC</t>
        </is>
      </c>
      <c r="C67" s="9" t="inlineStr">
        <is>
          <t>gl</t>
        </is>
      </c>
      <c r="D67" s="9" t="inlineStr">
        <is>
          <t>CM</t>
        </is>
      </c>
      <c r="E67" s="9" t="inlineStr">
        <is>
          <t>F</t>
        </is>
      </c>
      <c r="F67" s="9" t="inlineStr">
        <is>
          <t>Valor p</t>
        </is>
      </c>
    </row>
    <row r="68">
      <c r="A68" s="10" t="inlineStr">
        <is>
          <t>Población</t>
        </is>
      </c>
      <c r="B68" s="11">
        <f>D11</f>
        <v/>
      </c>
      <c r="C68" s="10" t="n">
        <v>2</v>
      </c>
      <c r="D68" s="11">
        <f>B68/C68</f>
        <v/>
      </c>
      <c r="E68" s="12">
        <f>D68/$D$74</f>
        <v/>
      </c>
      <c r="F68" s="13">
        <f>FDIST(E68,C68,$C$74)</f>
        <v/>
      </c>
    </row>
    <row r="69">
      <c r="A69" s="10" t="inlineStr">
        <is>
          <t>Prob. cruce</t>
        </is>
      </c>
      <c r="B69" s="11">
        <f>D18</f>
        <v/>
      </c>
      <c r="C69" s="10" t="n">
        <v>2</v>
      </c>
      <c r="D69" s="11">
        <f>B69/C69</f>
        <v/>
      </c>
      <c r="E69" s="12">
        <f>D69/$D$74</f>
        <v/>
      </c>
      <c r="F69" s="13">
        <f>FDIST(E69,C69,$C$74)</f>
        <v/>
      </c>
    </row>
    <row r="70">
      <c r="A70" s="10" t="inlineStr">
        <is>
          <t>Prob. mutación</t>
        </is>
      </c>
      <c r="B70" s="11">
        <f>D25</f>
        <v/>
      </c>
      <c r="C70" s="10" t="n">
        <v>2</v>
      </c>
      <c r="D70" s="11">
        <f>B70/C70</f>
        <v/>
      </c>
      <c r="E70" s="12">
        <f>D70/$D$74</f>
        <v/>
      </c>
      <c r="F70" s="13">
        <f>FDIST(E70,C70,$C$74)</f>
        <v/>
      </c>
    </row>
    <row r="71">
      <c r="A71" s="10" t="inlineStr">
        <is>
          <t>Población × Prob. cruce</t>
        </is>
      </c>
      <c r="B71" s="11">
        <f>E38</f>
        <v/>
      </c>
      <c r="C71" s="10" t="n">
        <v>4</v>
      </c>
      <c r="D71" s="11">
        <f>B71/C71</f>
        <v/>
      </c>
      <c r="E71" s="12">
        <f>D71/$D$74</f>
        <v/>
      </c>
      <c r="F71" s="13">
        <f>FDIST(E71,C71,$C$74)</f>
        <v/>
      </c>
    </row>
    <row r="72">
      <c r="A72" s="10" t="inlineStr">
        <is>
          <t>Población × Prob. mutación</t>
        </is>
      </c>
      <c r="B72" s="11">
        <f>E51</f>
        <v/>
      </c>
      <c r="C72" s="10" t="n">
        <v>4</v>
      </c>
      <c r="D72" s="11">
        <f>B72/C72</f>
        <v/>
      </c>
      <c r="E72" s="12">
        <f>D72/$D$74</f>
        <v/>
      </c>
      <c r="F72" s="13">
        <f>FDIST(E72,C72,$C$74)</f>
        <v/>
      </c>
    </row>
    <row r="73">
      <c r="A73" s="10" t="inlineStr">
        <is>
          <t>Prob. cruce × Prob. mutación</t>
        </is>
      </c>
      <c r="B73" s="11">
        <f>E64</f>
        <v/>
      </c>
      <c r="C73" s="10" t="n">
        <v>4</v>
      </c>
      <c r="D73" s="11">
        <f>B73/C73</f>
        <v/>
      </c>
      <c r="E73" s="12">
        <f>D73/$D$74</f>
        <v/>
      </c>
      <c r="F73" s="13">
        <f>FDIST(E73,C73,$C$74)</f>
        <v/>
      </c>
    </row>
    <row r="74">
      <c r="A74" s="10" t="inlineStr">
        <is>
          <t>Error</t>
        </is>
      </c>
      <c r="B74" s="11">
        <f>B75-SUM(B68:B73)</f>
        <v/>
      </c>
      <c r="C74" s="10">
        <f>C75-SUM(C68:C73)</f>
        <v/>
      </c>
      <c r="D74" s="11">
        <f>B74/C74</f>
        <v/>
      </c>
      <c r="E74" s="12" t="n"/>
      <c r="F74" s="13" t="n"/>
    </row>
    <row r="75">
      <c r="A75" s="10" t="inlineStr">
        <is>
          <t>Total</t>
        </is>
      </c>
      <c r="B75" s="11">
        <f>DEVSQ(Corridas!$E$2:$E$136)</f>
        <v/>
      </c>
      <c r="C75" s="10">
        <f>B4-1</f>
        <v/>
      </c>
      <c r="D75" s="11" t="n"/>
      <c r="E75" s="12" t="n"/>
      <c r="F75" s="13" t="n"/>
    </row>
    <row r="77">
      <c r="A77" t="inlineStr">
        <is>
          <t>Un valor p menor que 0,05 indica que el factor tiene efecto significativo sobre la tardanza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2026-10-28T01:49:50Z</dcterms:created>
  <dcterms:modified xmlns:dcterms="http://purl.org/dc/terms/" xmlns:xsi="http://www.w3.org/2001/XMLSchema-instance" xsi:type="dcterms:W3CDTF">2026-10-28T01:49:50Z</dcterms:modified>
</cp:coreProperties>
</file>